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L:\Spo\3.3 Management J+S\3.3.1 Camps\3. Camps\1. Sommercamp\Tenero 2026\01_Teilnehmende\"/>
    </mc:Choice>
  </mc:AlternateContent>
  <xr:revisionPtr revIDLastSave="0" documentId="13_ncr:1_{5718EB70-13EA-4420-9E6A-6478F202C3E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N-Liste" sheetId="1" r:id="rId1"/>
    <sheet name="Zusatzformular" sheetId="2" r:id="rId2"/>
    <sheet name="TN-Liste pro Sportart" sheetId="3" r:id="rId3"/>
    <sheet name="Einteilung Zelte" sheetId="4" r:id="rId4"/>
  </sheets>
  <definedNames>
    <definedName name="_xlnm._FilterDatabase" localSheetId="2" hidden="1">'TN-Liste pro Sportart'!$A$5:$K$135</definedName>
    <definedName name="_xlnm.Print_Area" localSheetId="2">'TN-Liste pro Sportart'!$A$1:$K$192</definedName>
    <definedName name="_xlnm.Print_Area" localSheetId="1">Zusatzformular!$A$1:$T$135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J19" i="3" l="1"/>
  <c r="J18" i="3"/>
  <c r="J174" i="3"/>
  <c r="J173" i="3"/>
  <c r="J69" i="3"/>
  <c r="J155" i="3"/>
  <c r="J154" i="3"/>
  <c r="J133" i="3"/>
  <c r="J132" i="3"/>
  <c r="J135" i="3" s="1"/>
  <c r="J114" i="3"/>
  <c r="J113" i="3"/>
  <c r="J94" i="3"/>
  <c r="J93" i="3"/>
  <c r="J70" i="3"/>
  <c r="J45" i="3"/>
  <c r="J44" i="3"/>
  <c r="J1" i="3"/>
  <c r="J2" i="3"/>
  <c r="J4" i="3" s="1"/>
  <c r="J176" i="3" l="1"/>
  <c r="J21" i="3"/>
  <c r="J96" i="3"/>
  <c r="J72" i="3"/>
  <c r="J47" i="3"/>
  <c r="J157" i="3"/>
  <c r="J116" i="3"/>
  <c r="J196" i="3" l="1"/>
</calcChain>
</file>

<file path=xl/sharedStrings.xml><?xml version="1.0" encoding="utf-8"?>
<sst xmlns="http://schemas.openxmlformats.org/spreadsheetml/2006/main" count="6512" uniqueCount="1551">
  <si>
    <t>Tenero AG Jugendsportcamps Sommercamp Tenero 2026</t>
  </si>
  <si>
    <t>Anzahl Teilnehmer</t>
  </si>
  <si>
    <t>Anzahl Leiter</t>
  </si>
  <si>
    <t>19.07.2026 17:00 - 25.07.2026 12:00</t>
  </si>
  <si>
    <t>Anzahl Teilnehmerinnen</t>
  </si>
  <si>
    <t>Anzahl Leiterinnen</t>
  </si>
  <si>
    <t>Nationales Jugendsportzentrum Tenero (CST), Nationales Jugendsportzentrum Tenero</t>
  </si>
  <si>
    <t>Anzahl Teilnehmende Divers</t>
  </si>
  <si>
    <t>Anzahl Leitende Divers</t>
  </si>
  <si>
    <t>Total</t>
  </si>
  <si>
    <t>Anrede</t>
  </si>
  <si>
    <t>Vorname</t>
  </si>
  <si>
    <t>Name</t>
  </si>
  <si>
    <t>StrasseNr</t>
  </si>
  <si>
    <t>EMail</t>
  </si>
  <si>
    <t>Geburtsdatum</t>
  </si>
  <si>
    <t>Mobile</t>
  </si>
  <si>
    <t>Kommentar</t>
  </si>
  <si>
    <t>Frau</t>
  </si>
  <si>
    <t>Abbas</t>
  </si>
  <si>
    <t>Schmittenstrasse 1</t>
  </si>
  <si>
    <t>pagaluethy@bluewin.ch</t>
  </si>
  <si>
    <t>01.10.2012</t>
  </si>
  <si>
    <t>756.4595.2664.78</t>
  </si>
  <si>
    <t>+41 782086877</t>
  </si>
  <si>
    <t>Herr</t>
  </si>
  <si>
    <t>Homayun</t>
  </si>
  <si>
    <t>Akbari</t>
  </si>
  <si>
    <t>Zollstrasse 50</t>
  </si>
  <si>
    <t>homayunakbari783@gmail.com</t>
  </si>
  <si>
    <t>01.01.2007</t>
  </si>
  <si>
    <t>756.0305.0302.92</t>
  </si>
  <si>
    <t>+41 78 321 02 10</t>
  </si>
  <si>
    <t>Elin</t>
  </si>
  <si>
    <t>Ammann</t>
  </si>
  <si>
    <t>Bannhaldenweg 11c</t>
  </si>
  <si>
    <t>sven.ammann@gmx.ch</t>
  </si>
  <si>
    <t>24.02.2012</t>
  </si>
  <si>
    <t>756.9304.4248.80</t>
  </si>
  <si>
    <t>+41 796151281</t>
  </si>
  <si>
    <t>Lyn</t>
  </si>
  <si>
    <t>Anderegg</t>
  </si>
  <si>
    <t>Buechzelgliring 13</t>
  </si>
  <si>
    <t>lyn.anderegg@gmail.com</t>
  </si>
  <si>
    <t>07.04.2008</t>
  </si>
  <si>
    <t>756.1890.7303.07</t>
  </si>
  <si>
    <t>+41 774988776</t>
  </si>
  <si>
    <t>Aline</t>
  </si>
  <si>
    <t>Arato</t>
  </si>
  <si>
    <t>Schönenwerderstrasse 41</t>
  </si>
  <si>
    <t>aline.arato@bluewin.ch</t>
  </si>
  <si>
    <t>21.12.2011</t>
  </si>
  <si>
    <t>756.2051.5211.47</t>
  </si>
  <si>
    <t>+41 77 491 43 00</t>
  </si>
  <si>
    <t>Zarwali</t>
  </si>
  <si>
    <t>Azghar Zada</t>
  </si>
  <si>
    <t>Dorfstrasse 41</t>
  </si>
  <si>
    <t>claudia.herzig@sh.ch</t>
  </si>
  <si>
    <t>756.0364.0528.77</t>
  </si>
  <si>
    <t>+41 77 929 36 86</t>
  </si>
  <si>
    <t>Gwenael</t>
  </si>
  <si>
    <t>Babey</t>
  </si>
  <si>
    <t>Alpenstrasse 4</t>
  </si>
  <si>
    <t>bbabey@gmx.ch</t>
  </si>
  <si>
    <t>25.05.2010</t>
  </si>
  <si>
    <t>756.9217.1998.13</t>
  </si>
  <si>
    <t>+41 765794015</t>
  </si>
  <si>
    <t xml:space="preserve">Fatih </t>
  </si>
  <si>
    <t>Basdabak</t>
  </si>
  <si>
    <t>Trieschweg 31</t>
  </si>
  <si>
    <t>fatihbasdabak@gmail.com</t>
  </si>
  <si>
    <t>06.06.2008</t>
  </si>
  <si>
    <t>756.8987.8870.43</t>
  </si>
  <si>
    <t>+41 783047827</t>
  </si>
  <si>
    <t>-</t>
  </si>
  <si>
    <t xml:space="preserve">Gioia </t>
  </si>
  <si>
    <t>Basler</t>
  </si>
  <si>
    <t>Geissfluhweg 4</t>
  </si>
  <si>
    <t>Majabaslee@gmail.com</t>
  </si>
  <si>
    <t>20.01.2012</t>
  </si>
  <si>
    <t>756.9643.7863.97</t>
  </si>
  <si>
    <t>+41 77 529 10 79</t>
  </si>
  <si>
    <t>Jiri</t>
  </si>
  <si>
    <t>basler.js@gmail.com</t>
  </si>
  <si>
    <t>11.05.2009</t>
  </si>
  <si>
    <t>756.4989.3649.95</t>
  </si>
  <si>
    <t>+41 774252214</t>
  </si>
  <si>
    <t xml:space="preserve">David </t>
  </si>
  <si>
    <t>Bauhofer</t>
  </si>
  <si>
    <t>Hauptstrasse 62</t>
  </si>
  <si>
    <t>ub@yetnet.ch</t>
  </si>
  <si>
    <t>07.03.2010</t>
  </si>
  <si>
    <t>756.1621.7081.48</t>
  </si>
  <si>
    <t>+41 782234498</t>
  </si>
  <si>
    <t>Neil</t>
  </si>
  <si>
    <t>Bilger</t>
  </si>
  <si>
    <t>Eichhaldenstrasse 26</t>
  </si>
  <si>
    <t>barbara.bilger@gmail.com</t>
  </si>
  <si>
    <t>23.09.2009</t>
  </si>
  <si>
    <t>756.6747.9871.94</t>
  </si>
  <si>
    <t>+41 76 453 53 22</t>
  </si>
  <si>
    <t xml:space="preserve">Aurelio </t>
  </si>
  <si>
    <t xml:space="preserve">Bonetti </t>
  </si>
  <si>
    <t>Buchenweg 1</t>
  </si>
  <si>
    <t>buchenweg@odibo.ch</t>
  </si>
  <si>
    <t>24.10.2012</t>
  </si>
  <si>
    <t>756.5554.1444.62</t>
  </si>
  <si>
    <t>+41 792106565</t>
  </si>
  <si>
    <t>Gero</t>
  </si>
  <si>
    <t>Bratke</t>
  </si>
  <si>
    <t>St. Jakobstr. 2</t>
  </si>
  <si>
    <t>linda.bratke@arcor.de</t>
  </si>
  <si>
    <t>18.10.2013</t>
  </si>
  <si>
    <t>756.8262.2376.86</t>
  </si>
  <si>
    <t>+41 76 201 33 44</t>
  </si>
  <si>
    <t>Lily</t>
  </si>
  <si>
    <t>Bucher</t>
  </si>
  <si>
    <t>Ausser 12</t>
  </si>
  <si>
    <t>lily.bucher@icloud.com</t>
  </si>
  <si>
    <t>21.08.2009</t>
  </si>
  <si>
    <t>756.4134.5034.46</t>
  </si>
  <si>
    <t>+41 774425665</t>
  </si>
  <si>
    <t>Nico</t>
  </si>
  <si>
    <t>Aspenweg 1a</t>
  </si>
  <si>
    <t>thomas.langhart@proton.me</t>
  </si>
  <si>
    <t>12.10.2009</t>
  </si>
  <si>
    <t>756.4480.7971.00</t>
  </si>
  <si>
    <t>+41 772686727</t>
  </si>
  <si>
    <t>Timo</t>
  </si>
  <si>
    <t>09.01.2012</t>
  </si>
  <si>
    <t>+41 772681891</t>
  </si>
  <si>
    <t>Bugnon</t>
  </si>
  <si>
    <t>Zelglistrasse 11</t>
  </si>
  <si>
    <t>kylian.bugnon@bluewin.ch</t>
  </si>
  <si>
    <t>27.10.2007</t>
  </si>
  <si>
    <t>756.4055.8406.37</t>
  </si>
  <si>
    <t>+41 79 123 64 83</t>
  </si>
  <si>
    <t>Corsin Men</t>
  </si>
  <si>
    <t>Bühler</t>
  </si>
  <si>
    <t>Stritengässli 24</t>
  </si>
  <si>
    <t>corsin_buehler@bluewin.ch</t>
  </si>
  <si>
    <t>05.09.2007</t>
  </si>
  <si>
    <t>756.2587.2089.94</t>
  </si>
  <si>
    <t>+41 795730907</t>
  </si>
  <si>
    <t>Ayleen</t>
  </si>
  <si>
    <t>Cederna</t>
  </si>
  <si>
    <t>Rosenbergstrasse 35</t>
  </si>
  <si>
    <t>fabian.cederna@gmx.ch</t>
  </si>
  <si>
    <t>03.09.2008</t>
  </si>
  <si>
    <t>756.3275.8470.68</t>
  </si>
  <si>
    <t>+41 775106101</t>
  </si>
  <si>
    <t>Maela</t>
  </si>
  <si>
    <t>21.10.2010</t>
  </si>
  <si>
    <t>756.1025.4465.09</t>
  </si>
  <si>
    <t>+41 767254449</t>
  </si>
  <si>
    <t>Christen</t>
  </si>
  <si>
    <t>Grosswisen 39</t>
  </si>
  <si>
    <t>yvonnebrunnerchristen@outlook.com</t>
  </si>
  <si>
    <t>03.01.2011</t>
  </si>
  <si>
    <t>756.9219.1536.84</t>
  </si>
  <si>
    <t>+41 775094503</t>
  </si>
  <si>
    <t>Lea</t>
  </si>
  <si>
    <t>Cohen</t>
  </si>
  <si>
    <t>Gässliacherweg 10</t>
  </si>
  <si>
    <t>leacohen902@gmail.com</t>
  </si>
  <si>
    <t>23.06.2010</t>
  </si>
  <si>
    <t>756.0639.1850.71</t>
  </si>
  <si>
    <t>+41 782338361</t>
  </si>
  <si>
    <t>Dätwiler</t>
  </si>
  <si>
    <t>Staldenstrasse 11a</t>
  </si>
  <si>
    <t>Claudia.daetwyler12@gmail.com</t>
  </si>
  <si>
    <t>17.11.2010</t>
  </si>
  <si>
    <t>756.5980.5752.50</t>
  </si>
  <si>
    <t>+41 766162758</t>
  </si>
  <si>
    <t>Jenna</t>
  </si>
  <si>
    <t>Di Carmine</t>
  </si>
  <si>
    <t>Kappelerweg 20</t>
  </si>
  <si>
    <t>lilly.lorena@gmail.com</t>
  </si>
  <si>
    <t>29.11.2009</t>
  </si>
  <si>
    <t>756.4484.6505.17</t>
  </si>
  <si>
    <t>+41 786050806</t>
  </si>
  <si>
    <t>Laura</t>
  </si>
  <si>
    <t>Di Puma</t>
  </si>
  <si>
    <t>Ringstrasse 2</t>
  </si>
  <si>
    <t>lauradipuma345@gmail.com</t>
  </si>
  <si>
    <t>21.01.2013</t>
  </si>
  <si>
    <t>756.1223.8881.63</t>
  </si>
  <si>
    <t>+41 775384489</t>
  </si>
  <si>
    <t>Julie</t>
  </si>
  <si>
    <t>Dumont</t>
  </si>
  <si>
    <t>Heuweg 3</t>
  </si>
  <si>
    <t>judumont170@gmail.com</t>
  </si>
  <si>
    <t>14.11.2009</t>
  </si>
  <si>
    <t>756.2728.2945.03</t>
  </si>
  <si>
    <t>+41 77 499 44 52</t>
  </si>
  <si>
    <t>Adam</t>
  </si>
  <si>
    <t>Dus</t>
  </si>
  <si>
    <t>Habsburgerstrasse 56</t>
  </si>
  <si>
    <t>adam.dus@icloud.com</t>
  </si>
  <si>
    <t>17.09.2008</t>
  </si>
  <si>
    <t>756.2646.5676.04</t>
  </si>
  <si>
    <t>+41 78 712 01 54</t>
  </si>
  <si>
    <t xml:space="preserve">Liam Lennox </t>
  </si>
  <si>
    <t>Eggenberger</t>
  </si>
  <si>
    <t>Käfergrund 3</t>
  </si>
  <si>
    <t>liam.eggenberger@stud.altekanti.ch</t>
  </si>
  <si>
    <t>09.09.2009</t>
  </si>
  <si>
    <t>756.3939.2975.81</t>
  </si>
  <si>
    <t>+41 76 429 99 09</t>
  </si>
  <si>
    <t xml:space="preserve">Prio 1: Beach, Prio 2: Volley, Prio 3: Ballsport </t>
  </si>
  <si>
    <t>Marc</t>
  </si>
  <si>
    <t>Emmenegger</t>
  </si>
  <si>
    <t>Bachstrasse 36</t>
  </si>
  <si>
    <t>marc.emmenegger10@gmail.com</t>
  </si>
  <si>
    <t>10.08.2010</t>
  </si>
  <si>
    <t>756.5374.8042.87</t>
  </si>
  <si>
    <t>+41 796558005</t>
  </si>
  <si>
    <t>Luca</t>
  </si>
  <si>
    <t>Evangelista</t>
  </si>
  <si>
    <t>Gassäckerstrasse 4</t>
  </si>
  <si>
    <t>monika.evangelista@mgb.ch</t>
  </si>
  <si>
    <t>01.01.2012</t>
  </si>
  <si>
    <t>756.7268.6487.55</t>
  </si>
  <si>
    <t>+41 774793578</t>
  </si>
  <si>
    <t xml:space="preserve">Ali Agha </t>
  </si>
  <si>
    <t xml:space="preserve">Fayazi </t>
  </si>
  <si>
    <t>Hochstrasse 261</t>
  </si>
  <si>
    <t>fayaziali819@gmail.com</t>
  </si>
  <si>
    <t>21.03.2006</t>
  </si>
  <si>
    <t>756.8063.2330.09</t>
  </si>
  <si>
    <t>+41 792383746</t>
  </si>
  <si>
    <t>Leny</t>
  </si>
  <si>
    <t>Fiechter</t>
  </si>
  <si>
    <t>Heidenackerweg 29</t>
  </si>
  <si>
    <t>claudia_amrein@yahoo.de</t>
  </si>
  <si>
    <t>05.07.2010</t>
  </si>
  <si>
    <t>756.3368.2754.57</t>
  </si>
  <si>
    <t>+41 762719766</t>
  </si>
  <si>
    <t>Noa</t>
  </si>
  <si>
    <t>19.09.2008</t>
  </si>
  <si>
    <t>756.2551.4165.16</t>
  </si>
  <si>
    <t>+41 764835358</t>
  </si>
  <si>
    <t xml:space="preserve">Vivienne </t>
  </si>
  <si>
    <t>Fischer</t>
  </si>
  <si>
    <t>Flachseeweg 1</t>
  </si>
  <si>
    <t>fami_fischer@gmx.ch</t>
  </si>
  <si>
    <t>26.09.2013</t>
  </si>
  <si>
    <t>756.4250.0624.21</t>
  </si>
  <si>
    <t>+41 798592609</t>
  </si>
  <si>
    <t xml:space="preserve">Melani </t>
  </si>
  <si>
    <t xml:space="preserve">Flück </t>
  </si>
  <si>
    <t>Bergackerweg 11</t>
  </si>
  <si>
    <t>me.flueck@gmail.com</t>
  </si>
  <si>
    <t>09.11.2010</t>
  </si>
  <si>
    <t>756.1173.5383.92</t>
  </si>
  <si>
    <t>+41 774475352</t>
  </si>
  <si>
    <t>Ramon</t>
  </si>
  <si>
    <t>Frey</t>
  </si>
  <si>
    <t>Chüegasse 1</t>
  </si>
  <si>
    <t>giselafrey@bluewin.ch</t>
  </si>
  <si>
    <t>23.10.2011</t>
  </si>
  <si>
    <t>756.4991.8082.41</t>
  </si>
  <si>
    <t>+41 762810937</t>
  </si>
  <si>
    <t>Luc</t>
  </si>
  <si>
    <t>Fuchs</t>
  </si>
  <si>
    <t>Dossenstrasse 10</t>
  </si>
  <si>
    <t>franziska.riesen@bluewin.ch</t>
  </si>
  <si>
    <t>23.09.2010</t>
  </si>
  <si>
    <t>756.4459.7090.80</t>
  </si>
  <si>
    <t>+41 774298317</t>
  </si>
  <si>
    <t>Flurin</t>
  </si>
  <si>
    <t>Geiser</t>
  </si>
  <si>
    <t>Holtengraben 20</t>
  </si>
  <si>
    <t>su.geiser@bluewin.ch</t>
  </si>
  <si>
    <t>10.07.2012</t>
  </si>
  <si>
    <t>756.0436.5877.02</t>
  </si>
  <si>
    <t>+41 762810839</t>
  </si>
  <si>
    <t>Elea</t>
  </si>
  <si>
    <t>Genzoni</t>
  </si>
  <si>
    <t>Neuenburgstasse 86</t>
  </si>
  <si>
    <t>elea.genzoni@icloud.com</t>
  </si>
  <si>
    <t>29.08.2011</t>
  </si>
  <si>
    <t>756.2343.0990.19</t>
  </si>
  <si>
    <t>+41 796448210</t>
  </si>
  <si>
    <t>Nolan</t>
  </si>
  <si>
    <t>Neuenburgstrasse 86</t>
  </si>
  <si>
    <t>nolan.genzoni@icloud.com</t>
  </si>
  <si>
    <t>09.01.2009</t>
  </si>
  <si>
    <t>756.2243.0184.79</t>
  </si>
  <si>
    <t>+41 774787006</t>
  </si>
  <si>
    <t>Liam</t>
  </si>
  <si>
    <t>Gischig</t>
  </si>
  <si>
    <t>Gehrenstrasse 7</t>
  </si>
  <si>
    <t>mg@team-boeni.ch</t>
  </si>
  <si>
    <t>27.01.2012</t>
  </si>
  <si>
    <t>756.2572.3224.45</t>
  </si>
  <si>
    <t>+41 76 494 5037</t>
  </si>
  <si>
    <t>Pia</t>
  </si>
  <si>
    <t>Giudici</t>
  </si>
  <si>
    <t>Burgermattweg 2</t>
  </si>
  <si>
    <t>giudi3@bluewin.ch</t>
  </si>
  <si>
    <t>10.09.2013</t>
  </si>
  <si>
    <t>+41 774131526</t>
  </si>
  <si>
    <t xml:space="preserve">Aday </t>
  </si>
  <si>
    <t xml:space="preserve">Hadad </t>
  </si>
  <si>
    <t>Schmittegasse 9</t>
  </si>
  <si>
    <t>sara.hadadstefanos@gmail.com</t>
  </si>
  <si>
    <t>06.06.2012</t>
  </si>
  <si>
    <t>756.8901.1303.47</t>
  </si>
  <si>
    <t>+41 772360375</t>
  </si>
  <si>
    <t>Philip</t>
  </si>
  <si>
    <t>Hajas</t>
  </si>
  <si>
    <t>Schweizistrasse 30D</t>
  </si>
  <si>
    <t>davidhajas@hotmail.com</t>
  </si>
  <si>
    <t>12.06.2008</t>
  </si>
  <si>
    <t>756.4039.9903.41</t>
  </si>
  <si>
    <t>+41 77 485 97 42</t>
  </si>
  <si>
    <t>Mesud</t>
  </si>
  <si>
    <t>Hashemi</t>
  </si>
  <si>
    <t>Engestrasse 72</t>
  </si>
  <si>
    <t>masudhashmi09@gmail.com</t>
  </si>
  <si>
    <t>25.05.2007</t>
  </si>
  <si>
    <t>756.0078.4198.43</t>
  </si>
  <si>
    <t>+41 77 929 62 16</t>
  </si>
  <si>
    <t>Aira</t>
  </si>
  <si>
    <t>Hertach</t>
  </si>
  <si>
    <t>Mühlerainstrasse 8</t>
  </si>
  <si>
    <t>sibille.jenni@gmail.com</t>
  </si>
  <si>
    <t>07.09.2012</t>
  </si>
  <si>
    <t>756.6358.2602.42</t>
  </si>
  <si>
    <t>+41 79 510 27 67</t>
  </si>
  <si>
    <t>Amanda</t>
  </si>
  <si>
    <t>Hess</t>
  </si>
  <si>
    <t>Bühlstrasse 9</t>
  </si>
  <si>
    <t>hess.amanda@gmx.ch</t>
  </si>
  <si>
    <t>27.12.2012</t>
  </si>
  <si>
    <t>756.5353.3006.70</t>
  </si>
  <si>
    <t>+41 772364077</t>
  </si>
  <si>
    <t>Zoé</t>
  </si>
  <si>
    <t>Hesse</t>
  </si>
  <si>
    <t>Schürlimattring 64</t>
  </si>
  <si>
    <t>freddy.hesse@gmail.com</t>
  </si>
  <si>
    <t>11.05.2013</t>
  </si>
  <si>
    <t>756.0802.7113.11</t>
  </si>
  <si>
    <t>+41 782052297</t>
  </si>
  <si>
    <t>Liana</t>
  </si>
  <si>
    <t>Heudorfer</t>
  </si>
  <si>
    <t>Bachstrasse 65C</t>
  </si>
  <si>
    <t>lianaaloa@gmail.com</t>
  </si>
  <si>
    <t>23.01.2011</t>
  </si>
  <si>
    <t>756.6372.8922.07</t>
  </si>
  <si>
    <t>+41 774071766</t>
  </si>
  <si>
    <t>Mailo</t>
  </si>
  <si>
    <t>mheudorfer@hotmail.com</t>
  </si>
  <si>
    <t>01.10.2013</t>
  </si>
  <si>
    <t>756.7333.2484.39</t>
  </si>
  <si>
    <t>+41 762498567</t>
  </si>
  <si>
    <t>Mayla</t>
  </si>
  <si>
    <t>Hintermann</t>
  </si>
  <si>
    <t>Sonnenhofweg 2</t>
  </si>
  <si>
    <t>mayla@hintermann.swiss</t>
  </si>
  <si>
    <t>03.08.2011</t>
  </si>
  <si>
    <t>756.9736.8369.23</t>
  </si>
  <si>
    <t>+41 76 746 12 91</t>
  </si>
  <si>
    <t>Kayla</t>
  </si>
  <si>
    <t>Hofer</t>
  </si>
  <si>
    <t>Höhenweg 8</t>
  </si>
  <si>
    <t>Kayla.hofer1@icloud.com</t>
  </si>
  <si>
    <t>13.07.2010</t>
  </si>
  <si>
    <t>756.5147.1226.93</t>
  </si>
  <si>
    <t>+41 765223390</t>
  </si>
  <si>
    <t>Gioia</t>
  </si>
  <si>
    <t>Huber</t>
  </si>
  <si>
    <t>Brütterstrasse 13</t>
  </si>
  <si>
    <t>Daniel.huber@dphuber.ch</t>
  </si>
  <si>
    <t>23.12.2010</t>
  </si>
  <si>
    <t>756.5011.1108.87</t>
  </si>
  <si>
    <t>+41 79 666 52 48</t>
  </si>
  <si>
    <t>Linda</t>
  </si>
  <si>
    <t>Dorfstrasse 12</t>
  </si>
  <si>
    <t>huber.linda85@gmail.com</t>
  </si>
  <si>
    <t>05.04.2010</t>
  </si>
  <si>
    <t>756.2877.2058.94</t>
  </si>
  <si>
    <t>+41 774354029</t>
  </si>
  <si>
    <t xml:space="preserve">Anis </t>
  </si>
  <si>
    <t>Jadiri</t>
  </si>
  <si>
    <t>Hauptstrasse 30</t>
  </si>
  <si>
    <t>t.sarwar68@gmail.com</t>
  </si>
  <si>
    <t>02.03.2010</t>
  </si>
  <si>
    <t>756.5060.5087.41</t>
  </si>
  <si>
    <t>+41 79 383 43 39</t>
  </si>
  <si>
    <t xml:space="preserve">Stefanie </t>
  </si>
  <si>
    <t>Jenny</t>
  </si>
  <si>
    <t>Stockenmattstrasse 25</t>
  </si>
  <si>
    <t>debora.jenny@schnydermode.ch</t>
  </si>
  <si>
    <t>12.03.2010</t>
  </si>
  <si>
    <t>756.3158.6292.31</t>
  </si>
  <si>
    <t>+41 787370634</t>
  </si>
  <si>
    <t>Thomas</t>
  </si>
  <si>
    <t>18.05.2012</t>
  </si>
  <si>
    <t>756.0250.7087.89</t>
  </si>
  <si>
    <t>+41 77 416 11 23</t>
  </si>
  <si>
    <t xml:space="preserve">Felicitas </t>
  </si>
  <si>
    <t>John</t>
  </si>
  <si>
    <t>Oberzeiherstrasse 33</t>
  </si>
  <si>
    <t>felicitasjohn@gmx.ch</t>
  </si>
  <si>
    <t>756.0881.9047.72</t>
  </si>
  <si>
    <t>+41 774498332</t>
  </si>
  <si>
    <t>Johnson</t>
  </si>
  <si>
    <t xml:space="preserve">Neuenburgerstrasse </t>
  </si>
  <si>
    <t>Johnsoon266@gmail.com</t>
  </si>
  <si>
    <t>26.04.2009</t>
  </si>
  <si>
    <t>756.3613.7139.25</t>
  </si>
  <si>
    <t>+41 766520549</t>
  </si>
  <si>
    <t>Lars</t>
  </si>
  <si>
    <t>Joho</t>
  </si>
  <si>
    <t>Spitzbirrli 10</t>
  </si>
  <si>
    <t>claudia.joho@yetnet.ch</t>
  </si>
  <si>
    <t>02.12.2010</t>
  </si>
  <si>
    <t>756.5976.7157.76</t>
  </si>
  <si>
    <t>+41 782442740</t>
  </si>
  <si>
    <t>jackliniessa13@gmail.com</t>
  </si>
  <si>
    <t>19.03.2013</t>
  </si>
  <si>
    <t>756.0185.6707.86</t>
  </si>
  <si>
    <t xml:space="preserve">+41 782653069 </t>
  </si>
  <si>
    <t>Kaiser</t>
  </si>
  <si>
    <t>Maienweg</t>
  </si>
  <si>
    <t>elea.anina.kaiser@gmail.com</t>
  </si>
  <si>
    <t>28.09.2011</t>
  </si>
  <si>
    <t>756.6798.8310.64</t>
  </si>
  <si>
    <t>+41 796749636</t>
  </si>
  <si>
    <t>Alina</t>
  </si>
  <si>
    <t>Kast</t>
  </si>
  <si>
    <t>Kirchgasse 1</t>
  </si>
  <si>
    <t>Chriskast68@outlook.de</t>
  </si>
  <si>
    <t>20.05.2013</t>
  </si>
  <si>
    <t>756.9565.9295.06</t>
  </si>
  <si>
    <t>+41 794036731</t>
  </si>
  <si>
    <t>Maja</t>
  </si>
  <si>
    <t>Kawalec</t>
  </si>
  <si>
    <t>Schweizergasse 1</t>
  </si>
  <si>
    <t>monikakawalec@gmail.com</t>
  </si>
  <si>
    <t>13.03.2013</t>
  </si>
  <si>
    <t>756.2216.2230.15</t>
  </si>
  <si>
    <t>+41 795778495</t>
  </si>
  <si>
    <t>Zelal</t>
  </si>
  <si>
    <t>Kaya</t>
  </si>
  <si>
    <t>Buchenweg 4</t>
  </si>
  <si>
    <t>Zelal200917@gmail.com</t>
  </si>
  <si>
    <t>17.07.2009</t>
  </si>
  <si>
    <t>756.7000.2970.98</t>
  </si>
  <si>
    <t>+41 772093200</t>
  </si>
  <si>
    <t>Daniel</t>
  </si>
  <si>
    <t>Kelei</t>
  </si>
  <si>
    <t xml:space="preserve">Quartierweg </t>
  </si>
  <si>
    <t>king.von123@icloud.com</t>
  </si>
  <si>
    <t>02.05.2011</t>
  </si>
  <si>
    <t>756.7981.5877.20</t>
  </si>
  <si>
    <t>+41 76 517 85 77</t>
  </si>
  <si>
    <t>Usman</t>
  </si>
  <si>
    <t>Khoghyani</t>
  </si>
  <si>
    <t>Krebsbachstrasse 125</t>
  </si>
  <si>
    <t>usmankhogyani3@gmail.com</t>
  </si>
  <si>
    <t>23.01.2007</t>
  </si>
  <si>
    <t>756.5524.5250.00</t>
  </si>
  <si>
    <t>+41 77 963 31 81</t>
  </si>
  <si>
    <t>Denis</t>
  </si>
  <si>
    <t xml:space="preserve">Kiefer </t>
  </si>
  <si>
    <t>Euelstrasse 55</t>
  </si>
  <si>
    <t>kiefer.tatjana@gmx.net</t>
  </si>
  <si>
    <t>29.11.2012</t>
  </si>
  <si>
    <t>756.2847.2203.15</t>
  </si>
  <si>
    <t>+41 766074387</t>
  </si>
  <si>
    <t>Nikita</t>
  </si>
  <si>
    <t>756.1307.6859.47</t>
  </si>
  <si>
    <t>Willy</t>
  </si>
  <si>
    <t>Konstanzer</t>
  </si>
  <si>
    <t>Gönhardweg, 102</t>
  </si>
  <si>
    <t>willy.konstanzer@gmail.com</t>
  </si>
  <si>
    <t>21.06.2009</t>
  </si>
  <si>
    <t>756.7531.5983.74</t>
  </si>
  <si>
    <t>+41 744704862</t>
  </si>
  <si>
    <t>Liliane</t>
  </si>
  <si>
    <t>Kündig</t>
  </si>
  <si>
    <t>Altfeldweg 8</t>
  </si>
  <si>
    <t>lilianekuendig@gmail.com</t>
  </si>
  <si>
    <t>21.08.2011</t>
  </si>
  <si>
    <t>756.1069.7343.10</t>
  </si>
  <si>
    <t>+41 78 269 75 11</t>
  </si>
  <si>
    <t>Sophie</t>
  </si>
  <si>
    <t>sophiekuendig@gmail.com</t>
  </si>
  <si>
    <t>30.05.2013</t>
  </si>
  <si>
    <t>756.3088.1854.87</t>
  </si>
  <si>
    <t>+41 783408599</t>
  </si>
  <si>
    <t>Federica</t>
  </si>
  <si>
    <t>Ligorati</t>
  </si>
  <si>
    <t>Berninasrtrasse 5 A</t>
  </si>
  <si>
    <t>Malenabimbo@gmail.com</t>
  </si>
  <si>
    <t>20.12.2010</t>
  </si>
  <si>
    <t>756.3518.6587.89</t>
  </si>
  <si>
    <t>+41 76 561 8113</t>
  </si>
  <si>
    <t>Hauser</t>
  </si>
  <si>
    <t>Livia</t>
  </si>
  <si>
    <t>Eppenbergstrasse</t>
  </si>
  <si>
    <t>eri.hauser@hotmail.com</t>
  </si>
  <si>
    <t>05.02.2013</t>
  </si>
  <si>
    <t>756.2664.3966.37</t>
  </si>
  <si>
    <t>+41 774910529</t>
  </si>
  <si>
    <t>Samantha</t>
  </si>
  <si>
    <t>Lüthi</t>
  </si>
  <si>
    <t>Quellmattstrasse 1</t>
  </si>
  <si>
    <t>sueluethi81@gmail.com</t>
  </si>
  <si>
    <t>23.04.2013</t>
  </si>
  <si>
    <t>756.7848.3884.39</t>
  </si>
  <si>
    <t>+41 766130423</t>
  </si>
  <si>
    <t>Riley</t>
  </si>
  <si>
    <t>Mallus</t>
  </si>
  <si>
    <t>Im Rüteli 3</t>
  </si>
  <si>
    <t>rileymallus@gmail.com</t>
  </si>
  <si>
    <t>23.03.2009</t>
  </si>
  <si>
    <t>756.5394.8844.98</t>
  </si>
  <si>
    <t>+41 795242303</t>
  </si>
  <si>
    <t>Samuel Gaven</t>
  </si>
  <si>
    <t>mallussamuel@gmail.com</t>
  </si>
  <si>
    <t>05.05.2006</t>
  </si>
  <si>
    <t>756.6404.9011.50</t>
  </si>
  <si>
    <t>+41 795633454</t>
  </si>
  <si>
    <t>Arthur</t>
  </si>
  <si>
    <t>Malouvier</t>
  </si>
  <si>
    <t>Sonnenbühlstrasse 6</t>
  </si>
  <si>
    <t>Lminisini@hotmail.fr</t>
  </si>
  <si>
    <t>14.12.2012</t>
  </si>
  <si>
    <t>756.8785.2301.33</t>
  </si>
  <si>
    <t>+41 798284587</t>
  </si>
  <si>
    <t>Ronja</t>
  </si>
  <si>
    <t>Märki</t>
  </si>
  <si>
    <t>Brügglifeldweg 1</t>
  </si>
  <si>
    <t>isabelle.widmer@gmx.ch</t>
  </si>
  <si>
    <t>11.07.2011</t>
  </si>
  <si>
    <t>756.8012.6839.09</t>
  </si>
  <si>
    <t>+41 793785489</t>
  </si>
  <si>
    <t>Mateo</t>
  </si>
  <si>
    <t>Meier</t>
  </si>
  <si>
    <t>Strangengasse 35</t>
  </si>
  <si>
    <t>Meiermarco@hotmail.com</t>
  </si>
  <si>
    <t>26.05.2009</t>
  </si>
  <si>
    <t>756.9064.9707.19</t>
  </si>
  <si>
    <t>+41 794754190</t>
  </si>
  <si>
    <t>Sven</t>
  </si>
  <si>
    <t>Meister</t>
  </si>
  <si>
    <t>Brunnmattstrasse 5d</t>
  </si>
  <si>
    <t>rebecca_hard@hotmail.com</t>
  </si>
  <si>
    <t>10.05.2012</t>
  </si>
  <si>
    <t>756.0421.7658.32</t>
  </si>
  <si>
    <t>+41 775214170</t>
  </si>
  <si>
    <t>Johanna</t>
  </si>
  <si>
    <t>Merkli</t>
  </si>
  <si>
    <t>Schwyzerstrasse 3</t>
  </si>
  <si>
    <t>johanna.merkli@protonmail.com</t>
  </si>
  <si>
    <t>15.06.2011</t>
  </si>
  <si>
    <t>756.5792.8626.16</t>
  </si>
  <si>
    <t>+41 77 462 89 82</t>
  </si>
  <si>
    <t>Farhad</t>
  </si>
  <si>
    <t>Moradi</t>
  </si>
  <si>
    <t>Bahnhofstrasse 22</t>
  </si>
  <si>
    <t>farhadmoradi1124@gmail.com</t>
  </si>
  <si>
    <t>756.1285.5737.24</t>
  </si>
  <si>
    <t>+41 762286737</t>
  </si>
  <si>
    <t>Anouk</t>
  </si>
  <si>
    <t>Müllhaupt</t>
  </si>
  <si>
    <t>Hintere Höhenstrasse 8</t>
  </si>
  <si>
    <t>anouk.m@gmx.ch</t>
  </si>
  <si>
    <t>12.11.2007</t>
  </si>
  <si>
    <t>756.3579.3788.17</t>
  </si>
  <si>
    <t>+41 789163637</t>
  </si>
  <si>
    <t>Jayden</t>
  </si>
  <si>
    <t>Murphy</t>
  </si>
  <si>
    <t>Wiesenstrasse 3</t>
  </si>
  <si>
    <t>Christian.sieber@ggaweb.ch</t>
  </si>
  <si>
    <t>08.10.2012</t>
  </si>
  <si>
    <t>756.3349.0035.74</t>
  </si>
  <si>
    <t>+41 78 264 9784</t>
  </si>
  <si>
    <t>Mohammad</t>
  </si>
  <si>
    <t>Naseri</t>
  </si>
  <si>
    <t>Kurvenstrasse 6</t>
  </si>
  <si>
    <t>claudio.keller@tipiti.ch</t>
  </si>
  <si>
    <t>11.11.2005</t>
  </si>
  <si>
    <t>756.9290.4222.73</t>
  </si>
  <si>
    <t>+41 76 700 69 28</t>
  </si>
  <si>
    <t>Bagher</t>
  </si>
  <si>
    <t>Nazari</t>
  </si>
  <si>
    <t>Dorfstrasse 9</t>
  </si>
  <si>
    <t>nazaribager49@gmail.com</t>
  </si>
  <si>
    <t>756.1390.2477.25</t>
  </si>
  <si>
    <t>+41 78 317 90 01</t>
  </si>
  <si>
    <t>Anna</t>
  </si>
  <si>
    <t>Neeser</t>
  </si>
  <si>
    <t>Blumenweg 3</t>
  </si>
  <si>
    <t>sara.neeser@bluewin.ch</t>
  </si>
  <si>
    <t>29.05.2011</t>
  </si>
  <si>
    <t>756.9155.0409.63</t>
  </si>
  <si>
    <t>+41 795168955</t>
  </si>
  <si>
    <t>Franck</t>
  </si>
  <si>
    <t>Ngono Zoalang</t>
  </si>
  <si>
    <t>Kappelstrasse 7</t>
  </si>
  <si>
    <t>f.zoalang@gmx.ch</t>
  </si>
  <si>
    <t>09.06.2011</t>
  </si>
  <si>
    <t>756.4155.0763.56</t>
  </si>
  <si>
    <t>+41 767415377</t>
  </si>
  <si>
    <t>Maxime</t>
  </si>
  <si>
    <t>Nguyen</t>
  </si>
  <si>
    <t>Grundstrasse 9</t>
  </si>
  <si>
    <t>ruscakova@gmail.com</t>
  </si>
  <si>
    <t>27.04.2012</t>
  </si>
  <si>
    <t>756.9385.2766.75</t>
  </si>
  <si>
    <t>+41 762637678</t>
  </si>
  <si>
    <t xml:space="preserve">Gabriel </t>
  </si>
  <si>
    <t xml:space="preserve">Oberson </t>
  </si>
  <si>
    <t>Birkenweg 7</t>
  </si>
  <si>
    <t>Erikacris@yahoo.com</t>
  </si>
  <si>
    <t>20.05.2010</t>
  </si>
  <si>
    <t>756.0843.1664.91</t>
  </si>
  <si>
    <t>+41 786575191</t>
  </si>
  <si>
    <t xml:space="preserve">Hannah </t>
  </si>
  <si>
    <t>07.11.2011</t>
  </si>
  <si>
    <t>756.9516.5536.37</t>
  </si>
  <si>
    <t>Aron</t>
  </si>
  <si>
    <t>Ocker</t>
  </si>
  <si>
    <t>Klosterstrasse 3</t>
  </si>
  <si>
    <t>orange@stbenedikt.ch</t>
  </si>
  <si>
    <t>28.06.2013</t>
  </si>
  <si>
    <t>756.6737.5630.56</t>
  </si>
  <si>
    <t>+41 791048025</t>
  </si>
  <si>
    <t>Stefaniia</t>
  </si>
  <si>
    <t>Pestereva</t>
  </si>
  <si>
    <t>Rebenweg 30</t>
  </si>
  <si>
    <t>stefaniiapestereva@gmail.com</t>
  </si>
  <si>
    <t>07.01.2009</t>
  </si>
  <si>
    <t>756.7611.4330.69</t>
  </si>
  <si>
    <t>+41 798917077</t>
  </si>
  <si>
    <t>Justin</t>
  </si>
  <si>
    <t>Petersen</t>
  </si>
  <si>
    <t>Rösslimattstrasse 2</t>
  </si>
  <si>
    <t>meike68@gmx.ch</t>
  </si>
  <si>
    <t>17.11.2006</t>
  </si>
  <si>
    <t>756.6201.5270.65</t>
  </si>
  <si>
    <t>+41 774405026</t>
  </si>
  <si>
    <t xml:space="preserve">Ponomarova </t>
  </si>
  <si>
    <t>Polina</t>
  </si>
  <si>
    <t>Aarestrasse, 1</t>
  </si>
  <si>
    <t>irina.v.ponomaryova@gmail.com</t>
  </si>
  <si>
    <t>02.04.2011</t>
  </si>
  <si>
    <t>756.8486.2774.75</t>
  </si>
  <si>
    <t>+41 765294490</t>
  </si>
  <si>
    <t>Finnley</t>
  </si>
  <si>
    <t>Rauber</t>
  </si>
  <si>
    <t>Kirchackerstrasse 22</t>
  </si>
  <si>
    <t>stefan.rauber@gmx.net</t>
  </si>
  <si>
    <t>13.12.2009</t>
  </si>
  <si>
    <t>756.5884.5718.08</t>
  </si>
  <si>
    <t>+41 78 215 2276</t>
  </si>
  <si>
    <t>Riner</t>
  </si>
  <si>
    <t>Weizacher 2</t>
  </si>
  <si>
    <t>5079linda@gmail.com</t>
  </si>
  <si>
    <t>27.09.2010</t>
  </si>
  <si>
    <t>756.9402.0133.13</t>
  </si>
  <si>
    <t>+41 774508711</t>
  </si>
  <si>
    <t>Marit</t>
  </si>
  <si>
    <t>maritriner@gmail.com</t>
  </si>
  <si>
    <t>756.7785.9010.43</t>
  </si>
  <si>
    <t>+41 775220056</t>
  </si>
  <si>
    <t>Rohner</t>
  </si>
  <si>
    <t>Am Bach 10</t>
  </si>
  <si>
    <t>frohner@gmx.ch</t>
  </si>
  <si>
    <t>21.02.2012</t>
  </si>
  <si>
    <t>756.8281.6236.82</t>
  </si>
  <si>
    <t>+41 796079885</t>
  </si>
  <si>
    <t>Benjamin</t>
  </si>
  <si>
    <t>Rohrer</t>
  </si>
  <si>
    <t>Obere Fischbachstrasse 2</t>
  </si>
  <si>
    <t>aleksandrarohrer@gmail.com</t>
  </si>
  <si>
    <t>25.11.2009</t>
  </si>
  <si>
    <t>756.6297.7948.08</t>
  </si>
  <si>
    <t>+41 774597012</t>
  </si>
  <si>
    <t>Hashmatullah</t>
  </si>
  <si>
    <t>Safi</t>
  </si>
  <si>
    <t>hashmatullahsafi1020@gmail.com</t>
  </si>
  <si>
    <t>03.01.2007</t>
  </si>
  <si>
    <t>756.4479.7929.70</t>
  </si>
  <si>
    <t>+41 783065606</t>
  </si>
  <si>
    <t>Sina-Sophia</t>
  </si>
  <si>
    <t>Saxer</t>
  </si>
  <si>
    <t>Seengerstrasse 8e</t>
  </si>
  <si>
    <t>sylvialoose@gmail.com</t>
  </si>
  <si>
    <t>16.12.2011</t>
  </si>
  <si>
    <t>756.0669.4660.41</t>
  </si>
  <si>
    <t>+41 77 448 64 80</t>
  </si>
  <si>
    <t>Annika</t>
  </si>
  <si>
    <t>Schilling</t>
  </si>
  <si>
    <t>Kyburgerstrasse 24a</t>
  </si>
  <si>
    <t>annika.schilling.ag@gmail.com</t>
  </si>
  <si>
    <t>28.06.2010</t>
  </si>
  <si>
    <t>756.1536.7837.04</t>
  </si>
  <si>
    <t>+41 782044758</t>
  </si>
  <si>
    <t>Yoric Ronin</t>
  </si>
  <si>
    <t>Schüepp</t>
  </si>
  <si>
    <t>Erlenmoosstrasse 7</t>
  </si>
  <si>
    <t>nicole.schueepp@outlook.com</t>
  </si>
  <si>
    <t>28.05.2010</t>
  </si>
  <si>
    <t>756.2473.3217.14</t>
  </si>
  <si>
    <t>+41 79 836 61 36</t>
  </si>
  <si>
    <t>Schumacher</t>
  </si>
  <si>
    <t>Pappelweg 2</t>
  </si>
  <si>
    <t>oliver.schumacher@valiant.ch</t>
  </si>
  <si>
    <t>25.01.2013</t>
  </si>
  <si>
    <t>756.9072.9790.49</t>
  </si>
  <si>
    <t>+41 794582287</t>
  </si>
  <si>
    <t>Bashir</t>
  </si>
  <si>
    <t>Shirzad</t>
  </si>
  <si>
    <t>desiree.rieser@tipiti.ch</t>
  </si>
  <si>
    <t>12.10.2006</t>
  </si>
  <si>
    <t>756.3258.3077.70</t>
  </si>
  <si>
    <t>+41 77 539 25 96</t>
  </si>
  <si>
    <t>Fin</t>
  </si>
  <si>
    <t xml:space="preserve">Sjögreen </t>
  </si>
  <si>
    <t>Giessenstrasse 7</t>
  </si>
  <si>
    <t>manuelasjogreen@gmail.com</t>
  </si>
  <si>
    <t>01.11.2011</t>
  </si>
  <si>
    <t>756.3121.2939.19</t>
  </si>
  <si>
    <t>+41 77 996 06 86</t>
  </si>
  <si>
    <t>Fabrice</t>
  </si>
  <si>
    <t>Spada</t>
  </si>
  <si>
    <t>Im Straumeier 6</t>
  </si>
  <si>
    <t>fabsp09@gmail.com</t>
  </si>
  <si>
    <t>27.01.2009</t>
  </si>
  <si>
    <t>756.1217.4023.68</t>
  </si>
  <si>
    <t>+41 764609989</t>
  </si>
  <si>
    <t>Thelma</t>
  </si>
  <si>
    <t>Stadelmann</t>
  </si>
  <si>
    <t>Via Rovere 5</t>
  </si>
  <si>
    <t>thelmatomik@gmail.com</t>
  </si>
  <si>
    <t>18.06.2012</t>
  </si>
  <si>
    <t>756.3611.6655.78</t>
  </si>
  <si>
    <t>+41 784048920</t>
  </si>
  <si>
    <t>Azalee</t>
  </si>
  <si>
    <t>Stoffel</t>
  </si>
  <si>
    <t>Strichenhof 276</t>
  </si>
  <si>
    <t>info@stoffel-treuhand.ch</t>
  </si>
  <si>
    <t>22.03.2013</t>
  </si>
  <si>
    <t>756.5781.6081.19</t>
  </si>
  <si>
    <t>+41 786060126</t>
  </si>
  <si>
    <t>Arina</t>
  </si>
  <si>
    <t>Vasbi</t>
  </si>
  <si>
    <t>Schmittegasse 29</t>
  </si>
  <si>
    <t>arinavasbi@gmail.com</t>
  </si>
  <si>
    <t>17.11.2009</t>
  </si>
  <si>
    <t>756.4568.1393.65</t>
  </si>
  <si>
    <t>+41 762174253</t>
  </si>
  <si>
    <t>Waldner</t>
  </si>
  <si>
    <t>Römerstrasse 45</t>
  </si>
  <si>
    <t>michael-waldner@gmx.ch</t>
  </si>
  <si>
    <t>28.11.2012</t>
  </si>
  <si>
    <t>756.5810.1887.80</t>
  </si>
  <si>
    <t>+41 78 261 55 02</t>
  </si>
  <si>
    <t>Wali</t>
  </si>
  <si>
    <t>Kunzenbadstrasse 1</t>
  </si>
  <si>
    <t>aewali@gmail.com</t>
  </si>
  <si>
    <t>756.8037.8298.01</t>
  </si>
  <si>
    <t>+41 787975000</t>
  </si>
  <si>
    <t>Hat Pollenallergie</t>
  </si>
  <si>
    <t>Myriam</t>
  </si>
  <si>
    <t>Kunznebadstrasse 1</t>
  </si>
  <si>
    <t>20.06.2012</t>
  </si>
  <si>
    <t>756.4520.0562.04</t>
  </si>
  <si>
    <t>hat Pollenallergie</t>
  </si>
  <si>
    <t>Amena</t>
  </si>
  <si>
    <t>Weber</t>
  </si>
  <si>
    <t>Ringweg 12</t>
  </si>
  <si>
    <t>anja76weber@gmail.com</t>
  </si>
  <si>
    <t>29.09.2012</t>
  </si>
  <si>
    <t>756.7988.5598.98</t>
  </si>
  <si>
    <t>+41 77 458 29 01</t>
  </si>
  <si>
    <t xml:space="preserve">Damiano </t>
  </si>
  <si>
    <t>Gösgerstrasse 11</t>
  </si>
  <si>
    <t>damiano.weber09@gmail.com</t>
  </si>
  <si>
    <t>15.08.2009</t>
  </si>
  <si>
    <t>756.6743.8302.03</t>
  </si>
  <si>
    <t>+41 797167488</t>
  </si>
  <si>
    <t>Lenna</t>
  </si>
  <si>
    <t>Chemin des Ages 59</t>
  </si>
  <si>
    <t>lenna.wegmueller@gmail.com</t>
  </si>
  <si>
    <t>19.04.2011</t>
  </si>
  <si>
    <t>756.1191.7304.95</t>
  </si>
  <si>
    <t>+41 77 432 3292</t>
  </si>
  <si>
    <t>Amelie</t>
  </si>
  <si>
    <t>Wetter</t>
  </si>
  <si>
    <t>Bachstrasse 94c</t>
  </si>
  <si>
    <t>amelie0wetter@gmail.com</t>
  </si>
  <si>
    <t>09.10.2010</t>
  </si>
  <si>
    <t>756.3924.9774.74</t>
  </si>
  <si>
    <t>+41 762346584</t>
  </si>
  <si>
    <t>Anja</t>
  </si>
  <si>
    <t>anja0wetter@gmail.com</t>
  </si>
  <si>
    <t>10.08.2009</t>
  </si>
  <si>
    <t>756.7241.4292.03</t>
  </si>
  <si>
    <t>+41 762038277</t>
  </si>
  <si>
    <t>Valentina Astrea</t>
  </si>
  <si>
    <t>Widmer</t>
  </si>
  <si>
    <t>Reben 532</t>
  </si>
  <si>
    <t>valentina.widmer@icloud.com</t>
  </si>
  <si>
    <t>13.11.2010</t>
  </si>
  <si>
    <t>756.8332.2484.20</t>
  </si>
  <si>
    <t>+41 765061155</t>
  </si>
  <si>
    <t>Ventsislav</t>
  </si>
  <si>
    <t>Yordanov</t>
  </si>
  <si>
    <t>Obere Dorfstrasse 35</t>
  </si>
  <si>
    <t>Daniel.berger.2014@marshall.usc.edu</t>
  </si>
  <si>
    <t>756.4045.1419.97</t>
  </si>
  <si>
    <t>+41 77 236 82 11</t>
  </si>
  <si>
    <t>Janis</t>
  </si>
  <si>
    <t>Zimmermann</t>
  </si>
  <si>
    <t>Zilacher</t>
  </si>
  <si>
    <t>rebekkabellikon@bluewin.ch</t>
  </si>
  <si>
    <t>16.03.2010</t>
  </si>
  <si>
    <t>756.2117.8032.17</t>
  </si>
  <si>
    <t>+41 774083850</t>
  </si>
  <si>
    <t>Arsène</t>
  </si>
  <si>
    <t>Zoalang</t>
  </si>
  <si>
    <t>a.zoalang@gmx.ch</t>
  </si>
  <si>
    <t>02.10.2008</t>
  </si>
  <si>
    <t>+41 787777513</t>
  </si>
  <si>
    <t>Lena</t>
  </si>
  <si>
    <t>Zobrist</t>
  </si>
  <si>
    <t>Auensteinerstrasse 30</t>
  </si>
  <si>
    <t>lenazobrist@gmail.com</t>
  </si>
  <si>
    <t>24.10.2010</t>
  </si>
  <si>
    <t>756.9645.3573.59</t>
  </si>
  <si>
    <t>+41 793182433</t>
  </si>
  <si>
    <t>Andrin</t>
  </si>
  <si>
    <t>Zulauf</t>
  </si>
  <si>
    <t>Chesletenrain 7</t>
  </si>
  <si>
    <t>jael.lohri@gmail.com</t>
  </si>
  <si>
    <t>10.01.2014</t>
  </si>
  <si>
    <t>756.5141.5381.48</t>
  </si>
  <si>
    <t>+41 764602172</t>
  </si>
  <si>
    <t xml:space="preserve">Leo </t>
  </si>
  <si>
    <t>16.03.2011</t>
  </si>
  <si>
    <t>756.0143.0423.65</t>
  </si>
  <si>
    <t>+41 764600549</t>
  </si>
  <si>
    <t>Nuria</t>
  </si>
  <si>
    <t>20.12.2009</t>
  </si>
  <si>
    <t>756.3417.2361.56</t>
  </si>
  <si>
    <t>+41 76 433 05 49</t>
  </si>
  <si>
    <t xml:space="preserve">Zurlinden </t>
  </si>
  <si>
    <t>Schürlimattring 62</t>
  </si>
  <si>
    <t>Evas_zurlinden@gmx.ch</t>
  </si>
  <si>
    <t>18.12.2011</t>
  </si>
  <si>
    <t>756.5432.3872.95</t>
  </si>
  <si>
    <t>+41 775233043</t>
  </si>
  <si>
    <t>Kursleitung</t>
  </si>
  <si>
    <t>Adresse</t>
  </si>
  <si>
    <t>PLZ</t>
  </si>
  <si>
    <t>Ort</t>
  </si>
  <si>
    <t>E-Mail</t>
  </si>
  <si>
    <t>Telefon</t>
  </si>
  <si>
    <t>Sprache</t>
  </si>
  <si>
    <t>Aegerter-Kasap</t>
  </si>
  <si>
    <t>Adriana</t>
  </si>
  <si>
    <t/>
  </si>
  <si>
    <t>adriana.kasap@raion-dojo.ch</t>
  </si>
  <si>
    <t>Baumberger</t>
  </si>
  <si>
    <t>Nadia</t>
  </si>
  <si>
    <t>nadia.baumberger@ag.ch</t>
  </si>
  <si>
    <t>Deutsch</t>
  </si>
  <si>
    <t>Fürst</t>
  </si>
  <si>
    <t>Dimitri</t>
  </si>
  <si>
    <t>Rheinstrasse 171</t>
  </si>
  <si>
    <t>7000</t>
  </si>
  <si>
    <t>Chur</t>
  </si>
  <si>
    <t>dimitri.fuerst@gmail.com</t>
  </si>
  <si>
    <t>28.12.1996</t>
  </si>
  <si>
    <t>Grossklaus</t>
  </si>
  <si>
    <t>Ciril Charles</t>
  </si>
  <si>
    <t>Sommerhaldenstrasse 61</t>
  </si>
  <si>
    <t>5200</t>
  </si>
  <si>
    <t>ciril.grossklaus@ag.ch</t>
  </si>
  <si>
    <t>17.04.1991</t>
  </si>
  <si>
    <t>Hochstrasser</t>
  </si>
  <si>
    <t>Natalja</t>
  </si>
  <si>
    <t>Hintere Vorstadt 22</t>
  </si>
  <si>
    <t>5000</t>
  </si>
  <si>
    <t>Aarau</t>
  </si>
  <si>
    <t>n.hochstrasser@gmx.ch</t>
  </si>
  <si>
    <t>078 637 99 22</t>
  </si>
  <si>
    <t>29.08.1996</t>
  </si>
  <si>
    <t>Jucker</t>
  </si>
  <si>
    <t>Mathis</t>
  </si>
  <si>
    <t>Renggerstr. 58</t>
  </si>
  <si>
    <t>mathisleojucker@bluewin.ch</t>
  </si>
  <si>
    <t>Käser</t>
  </si>
  <si>
    <t>Andreas</t>
  </si>
  <si>
    <t>Colmarerstrasse 49</t>
  </si>
  <si>
    <t>4055</t>
  </si>
  <si>
    <t>Basel</t>
  </si>
  <si>
    <t>andreas.kaeser@stud.unibas.ch</t>
  </si>
  <si>
    <t>076 215 65 94</t>
  </si>
  <si>
    <t>11.05.1997</t>
  </si>
  <si>
    <t>König</t>
  </si>
  <si>
    <t>Muriel Noemi</t>
  </si>
  <si>
    <t>Grabenweg 24</t>
  </si>
  <si>
    <t>5012</t>
  </si>
  <si>
    <t>Schönenwerd</t>
  </si>
  <si>
    <t>muriel.koenig@yetnet.ch</t>
  </si>
  <si>
    <t>23.12.1998</t>
  </si>
  <si>
    <t>Lemmenmeier</t>
  </si>
  <si>
    <t xml:space="preserve">Jessy </t>
  </si>
  <si>
    <t>jessy.lemmenmeier@gmx.ch</t>
  </si>
  <si>
    <t>Lowe</t>
  </si>
  <si>
    <t>Amy</t>
  </si>
  <si>
    <t>Im Baumgarten 3</t>
  </si>
  <si>
    <t>5624</t>
  </si>
  <si>
    <t>amy.lowe@bluewin.ch</t>
  </si>
  <si>
    <t>14.11.2001</t>
  </si>
  <si>
    <t>Mauthe</t>
  </si>
  <si>
    <t>Tina</t>
  </si>
  <si>
    <t>Chileweg	25</t>
  </si>
  <si>
    <t>5413</t>
  </si>
  <si>
    <t>tina.mauthe@gmx.ch</t>
  </si>
  <si>
    <t xml:space="preserve">079 767 21 95      </t>
  </si>
  <si>
    <t>11.07.1997</t>
  </si>
  <si>
    <t>Wettingen</t>
  </si>
  <si>
    <t>Müller</t>
  </si>
  <si>
    <t>Jurastrasse 21</t>
  </si>
  <si>
    <t>tina-mueller@gmx.ch</t>
  </si>
  <si>
    <t>16.01.1995</t>
  </si>
  <si>
    <t>Ofner</t>
  </si>
  <si>
    <t>Dean</t>
  </si>
  <si>
    <t>dean.ofner@ag.ch</t>
  </si>
  <si>
    <t>Raffi</t>
  </si>
  <si>
    <t xml:space="preserve">Luca </t>
  </si>
  <si>
    <t>luca_raffi@hotmail.com</t>
  </si>
  <si>
    <t>Salathe</t>
  </si>
  <si>
    <t>salathe.philip@gmail.com</t>
  </si>
  <si>
    <t>Sandmeier</t>
  </si>
  <si>
    <t xml:space="preserve">Aurel </t>
  </si>
  <si>
    <t>a.sandmeier@hotmail.de</t>
  </si>
  <si>
    <t>Scheidegger</t>
  </si>
  <si>
    <t>Marian</t>
  </si>
  <si>
    <t>marian.scheidegger@raion-dojo.ch</t>
  </si>
  <si>
    <t>Schlatter</t>
  </si>
  <si>
    <t>Lara Nicole</t>
  </si>
  <si>
    <t>Haldenstrasse 15</t>
  </si>
  <si>
    <t>5742</t>
  </si>
  <si>
    <t>Kölliken</t>
  </si>
  <si>
    <t>schlatterl@bluewin.ch</t>
  </si>
  <si>
    <t>15.01.2002</t>
  </si>
  <si>
    <t>Steffen</t>
  </si>
  <si>
    <t>Fabian</t>
  </si>
  <si>
    <t>fabian.steffen@gmx.ch</t>
  </si>
  <si>
    <t>Steiner</t>
  </si>
  <si>
    <t xml:space="preserve">Elias </t>
  </si>
  <si>
    <t>mail@eliassteiner.ch</t>
  </si>
  <si>
    <t>Stouder</t>
  </si>
  <si>
    <t xml:space="preserve">Joel </t>
  </si>
  <si>
    <t>joelstouder@outlook.com</t>
  </si>
  <si>
    <t>Zurflüh</t>
  </si>
  <si>
    <t>Sarah Anna</t>
  </si>
  <si>
    <t>Holbeinweg 17</t>
  </si>
  <si>
    <t>4500</t>
  </si>
  <si>
    <t>Solothurn</t>
  </si>
  <si>
    <t>sarahz@solnet.ch</t>
  </si>
  <si>
    <t>076 329 98 28</t>
  </si>
  <si>
    <t>30.12.1997</t>
  </si>
  <si>
    <t>Schwimmkenntnisse</t>
  </si>
  <si>
    <t>VornameEltern</t>
  </si>
  <si>
    <t>NameEltern</t>
  </si>
  <si>
    <t>MobileEltern</t>
  </si>
  <si>
    <t>EmailEltern</t>
  </si>
  <si>
    <t>Anreise</t>
  </si>
  <si>
    <t>Zustiegsbahnhof</t>
  </si>
  <si>
    <t>Rueckreise</t>
  </si>
  <si>
    <t>Ausstiegsbahnhof</t>
  </si>
  <si>
    <t>GA</t>
  </si>
  <si>
    <t>Vegi</t>
  </si>
  <si>
    <t>Allergien</t>
  </si>
  <si>
    <t>Krankenkasse</t>
  </si>
  <si>
    <t>VersicherungUnfall</t>
  </si>
  <si>
    <t>Medikamente</t>
  </si>
  <si>
    <t>Aufmerksamkeit</t>
  </si>
  <si>
    <t>Ballsport (Basketball, Fussball, Handball, Unihockey)</t>
  </si>
  <si>
    <t>Leichtathletik (Sprint, Hürden, Speer, Hochsprung, Stabhochsprung, Kugelstossen)</t>
  </si>
  <si>
    <t>Ich kann nicht oder nur schlecht schwimmen.</t>
  </si>
  <si>
    <t>Mohammed</t>
  </si>
  <si>
    <t>+41 782373333</t>
  </si>
  <si>
    <t>Ich reise mit der Gruppe an.</t>
  </si>
  <si>
    <t>Baden</t>
  </si>
  <si>
    <t>Ich reise mit der Gruppe zurück.</t>
  </si>
  <si>
    <t>Nein</t>
  </si>
  <si>
    <t>kein Schweinefleisch</t>
  </si>
  <si>
    <t>Visana</t>
  </si>
  <si>
    <t>Freunde, Bekannte</t>
  </si>
  <si>
    <t>Ja</t>
  </si>
  <si>
    <t>+41 52 632 76 81</t>
  </si>
  <si>
    <t>Zürich</t>
  </si>
  <si>
    <t>Ich reise selbstständig zurück.</t>
  </si>
  <si>
    <t>ÖKK</t>
  </si>
  <si>
    <t>Website (www.ag.ch/sport)</t>
  </si>
  <si>
    <t>Wassersport (SUP, Wasserball, Turmspringen, Schwimmen)</t>
  </si>
  <si>
    <t>Akro/Partnerakrobatik (Gemeinsam trainieren wir Balance, Technik, Körperspannung und Vertrauen)</t>
  </si>
  <si>
    <t xml:space="preserve">Ich kann schwimmen und fühle mich im Wasser sicher. </t>
  </si>
  <si>
    <t>+41 792365601</t>
  </si>
  <si>
    <t>Helsana</t>
  </si>
  <si>
    <t>Social Media (Instagram, Facebook)</t>
  </si>
  <si>
    <t>Beachvolleyball (Beachvolleyball, Spikeball)</t>
  </si>
  <si>
    <t>Volleyball (Hallenvolleyball, 1x Halbtags Beachvolleyball)</t>
  </si>
  <si>
    <t>Astrid</t>
  </si>
  <si>
    <t>+41 792802739</t>
  </si>
  <si>
    <t>astrid.anderegg@gmail.com</t>
  </si>
  <si>
    <t>groupe mutuel</t>
  </si>
  <si>
    <t>Marianne</t>
  </si>
  <si>
    <t>Gloor Arato</t>
  </si>
  <si>
    <t>+41 797907260</t>
  </si>
  <si>
    <t>marianne.gloor@bluewin.ch</t>
  </si>
  <si>
    <t>Concordia</t>
  </si>
  <si>
    <t>Kampfsport (Kickboxen, Boxen, Selbstverteidigung,Thaiboxen, Judo)</t>
  </si>
  <si>
    <t>Flyer, Plakat</t>
  </si>
  <si>
    <t>Barbara</t>
  </si>
  <si>
    <t>+41 76 579 40 15</t>
  </si>
  <si>
    <t>KPT</t>
  </si>
  <si>
    <t>Parkour &amp; co (Parkour, Mountainbike, Inline Skate, BMX, Wasserspringen, Kendama)</t>
  </si>
  <si>
    <t>Tennis und mehr (Badminton, Squash, Tischtennis)</t>
  </si>
  <si>
    <t xml:space="preserve">Hanife </t>
  </si>
  <si>
    <t>+41 766298885</t>
  </si>
  <si>
    <t>hanife.basdabak84@gmail.com</t>
  </si>
  <si>
    <t>Maja76204</t>
  </si>
  <si>
    <t>+41 762049996</t>
  </si>
  <si>
    <t>majabasler@gmail.com</t>
  </si>
  <si>
    <t>Ja Liste wird bei bedarf nachgeliefert, Medikamente werden selbständig eingenommen</t>
  </si>
  <si>
    <t>Ursula</t>
  </si>
  <si>
    <t>+41 787391123</t>
  </si>
  <si>
    <t>Kein Schweinefleisch</t>
  </si>
  <si>
    <t>CSS</t>
  </si>
  <si>
    <t>Anderes</t>
  </si>
  <si>
    <t xml:space="preserve">Volleyball (Hallenvolleyball, 1x Halbtags Beachvolleyball) </t>
  </si>
  <si>
    <t>+41 76 246 65 65</t>
  </si>
  <si>
    <t xml:space="preserve">Isabelle </t>
  </si>
  <si>
    <t xml:space="preserve">Odermatt Bonetti </t>
  </si>
  <si>
    <t>+41 792522236</t>
  </si>
  <si>
    <t>+41 762042648</t>
  </si>
  <si>
    <t>Stephan</t>
  </si>
  <si>
    <t>+41 786802728</t>
  </si>
  <si>
    <t>steph.bucher@gmail.com</t>
  </si>
  <si>
    <t>Concerta 18 mg</t>
  </si>
  <si>
    <t xml:space="preserve">Thomas </t>
  </si>
  <si>
    <t>Langhart</t>
  </si>
  <si>
    <t>+41 786030492</t>
  </si>
  <si>
    <t>Grupemutuel</t>
  </si>
  <si>
    <t>Grupmutuel</t>
  </si>
  <si>
    <t>Ritalin - morgens 30mg</t>
  </si>
  <si>
    <t>langhart</t>
  </si>
  <si>
    <t>GroupeMutuel</t>
  </si>
  <si>
    <t>+41 79 263 06 36</t>
  </si>
  <si>
    <t>I.bugnon@bluewin.ch</t>
  </si>
  <si>
    <t>Kpt</t>
  </si>
  <si>
    <t>Verein</t>
  </si>
  <si>
    <t>Ladina</t>
  </si>
  <si>
    <t>+41 76 375 12 10</t>
  </si>
  <si>
    <t>sigria@bluemail.ch</t>
  </si>
  <si>
    <t>Ich reise selbstständig an.</t>
  </si>
  <si>
    <t>Swica Nr. 5.259.247</t>
  </si>
  <si>
    <t>Swica</t>
  </si>
  <si>
    <t>Fabian Cederna</t>
  </si>
  <si>
    <t>+41 793358867</t>
  </si>
  <si>
    <t>Yvonne</t>
  </si>
  <si>
    <t>Brunner</t>
  </si>
  <si>
    <t>+41 764326634</t>
  </si>
  <si>
    <t xml:space="preserve">Michaela </t>
  </si>
  <si>
    <t>+41  076 509 37 65</t>
  </si>
  <si>
    <t>michaela.cohen78@gmail.com</t>
  </si>
  <si>
    <t>0312-Atupri</t>
  </si>
  <si>
    <t>Claudia</t>
  </si>
  <si>
    <t>+41 764290136</t>
  </si>
  <si>
    <t>claudia.daetwyler12@gmail.com</t>
  </si>
  <si>
    <t>Karina</t>
  </si>
  <si>
    <t>+41 786066669</t>
  </si>
  <si>
    <t>xkarinaxdc@gmail.com</t>
  </si>
  <si>
    <t>+41 797029457</t>
  </si>
  <si>
    <t>claudia.dipuma@bluewin.ch</t>
  </si>
  <si>
    <t xml:space="preserve">Heidi </t>
  </si>
  <si>
    <t>Dumont-Kubat</t>
  </si>
  <si>
    <t>+41 79 780 37 22</t>
  </si>
  <si>
    <t>hdumontkubat@gmx.ch</t>
  </si>
  <si>
    <t>Atupri</t>
  </si>
  <si>
    <t>+41 774358485</t>
  </si>
  <si>
    <t>jiri.dus@icloud.com</t>
  </si>
  <si>
    <t>Brugg</t>
  </si>
  <si>
    <t>Groupe Mutuel</t>
  </si>
  <si>
    <t>Susan</t>
  </si>
  <si>
    <t>+41 763943873</t>
  </si>
  <si>
    <t>s.eggenberger@s-un.ch</t>
  </si>
  <si>
    <t>Nicole</t>
  </si>
  <si>
    <t>+41 796227063</t>
  </si>
  <si>
    <t>ballerina71@gmail.com</t>
  </si>
  <si>
    <t>Monika</t>
  </si>
  <si>
    <t>+41 774725401</t>
  </si>
  <si>
    <t>monika@evangelista.li</t>
  </si>
  <si>
    <t xml:space="preserve">Mohammed </t>
  </si>
  <si>
    <t xml:space="preserve">Amini </t>
  </si>
  <si>
    <t>+41 778092713</t>
  </si>
  <si>
    <t>leonie.motzke@sh.ch</t>
  </si>
  <si>
    <t xml:space="preserve">kein Schweinefleisch </t>
  </si>
  <si>
    <t xml:space="preserve">ÖKK </t>
  </si>
  <si>
    <t xml:space="preserve">Roman und Claudia </t>
  </si>
  <si>
    <t xml:space="preserve">+41 795035718 </t>
  </si>
  <si>
    <t>Claudia und Roman</t>
  </si>
  <si>
    <t>+41 795035718</t>
  </si>
  <si>
    <t>Petra</t>
  </si>
  <si>
    <t>+41 796847700</t>
  </si>
  <si>
    <t>Agrisano</t>
  </si>
  <si>
    <t>Martin</t>
  </si>
  <si>
    <t>Flück</t>
  </si>
  <si>
    <t>+41 787557730</t>
  </si>
  <si>
    <t>martin.flueck@bit.admin.ch</t>
  </si>
  <si>
    <t>Gisela</t>
  </si>
  <si>
    <t>+41 797642729</t>
  </si>
  <si>
    <t>10.010-528-614</t>
  </si>
  <si>
    <t>Asthma Spray am Morgen 1 Hub</t>
  </si>
  <si>
    <t>Susanne</t>
  </si>
  <si>
    <t>+41 78 871 82 09</t>
  </si>
  <si>
    <t>Karin</t>
  </si>
  <si>
    <t>+41 79 795 90 20</t>
  </si>
  <si>
    <t>kagenzoni@gmail.com</t>
  </si>
  <si>
    <t xml:space="preserve">Karin </t>
  </si>
  <si>
    <t>CONCORDIA</t>
  </si>
  <si>
    <t xml:space="preserve">Michael </t>
  </si>
  <si>
    <t>+41 79 210 59 23</t>
  </si>
  <si>
    <t>Patrick</t>
  </si>
  <si>
    <t>+41 797074569</t>
  </si>
  <si>
    <t>css</t>
  </si>
  <si>
    <t>Sara</t>
  </si>
  <si>
    <t>Hadad</t>
  </si>
  <si>
    <t>+41 787407520</t>
  </si>
  <si>
    <t>Spray morgens und abends wg allergischem Asthma, selbständige Einnahme</t>
  </si>
  <si>
    <t>David</t>
  </si>
  <si>
    <t>+41 797209183</t>
  </si>
  <si>
    <t>Sibille</t>
  </si>
  <si>
    <t>Jenni Hertach</t>
  </si>
  <si>
    <t>+41 78 696 15 63</t>
  </si>
  <si>
    <t>Daniela und Marcel</t>
  </si>
  <si>
    <t>+41 798310594</t>
  </si>
  <si>
    <t>hess.daniela@outlook.com</t>
  </si>
  <si>
    <t>Frederic</t>
  </si>
  <si>
    <t>+41 798348366</t>
  </si>
  <si>
    <t xml:space="preserve">Marlies </t>
  </si>
  <si>
    <t xml:space="preserve">Heudorfer </t>
  </si>
  <si>
    <t>+41 797935383</t>
  </si>
  <si>
    <t xml:space="preserve">Concordia </t>
  </si>
  <si>
    <t>Marlies</t>
  </si>
  <si>
    <t>Marlies Heudorfer</t>
  </si>
  <si>
    <t>+41 765660570</t>
  </si>
  <si>
    <t>martin@hintermann.swiss</t>
  </si>
  <si>
    <t>Keine</t>
  </si>
  <si>
    <t>EGK</t>
  </si>
  <si>
    <t>Janine</t>
  </si>
  <si>
    <t>+41 791985600</t>
  </si>
  <si>
    <t>jhofer@hotmail.co.uk</t>
  </si>
  <si>
    <t>+41 76 324 44 40</t>
  </si>
  <si>
    <t>daniel.huber@dphuber.ch</t>
  </si>
  <si>
    <t>EGK St. Gallen</t>
  </si>
  <si>
    <t>Esther</t>
  </si>
  <si>
    <t>Hagi</t>
  </si>
  <si>
    <t>+41 774025953</t>
  </si>
  <si>
    <t>esther_hagi@bluewin.ch</t>
  </si>
  <si>
    <t>Tauqir</t>
  </si>
  <si>
    <t>Sarwar</t>
  </si>
  <si>
    <t>+41 763810408</t>
  </si>
  <si>
    <t xml:space="preserve">Débora </t>
  </si>
  <si>
    <t xml:space="preserve">Debora </t>
  </si>
  <si>
    <t xml:space="preserve">Katharina </t>
  </si>
  <si>
    <t>+41 796473207</t>
  </si>
  <si>
    <t>katharinajohn@gmx.ch</t>
  </si>
  <si>
    <t>Aquilana</t>
  </si>
  <si>
    <t>Dumo</t>
  </si>
  <si>
    <t>+41 76 561 27 81</t>
  </si>
  <si>
    <t>johnson266@gmail.com</t>
  </si>
  <si>
    <t>+41 796841131</t>
  </si>
  <si>
    <t>Jacklin</t>
  </si>
  <si>
    <t>Iessa</t>
  </si>
  <si>
    <t>+41 766729409</t>
  </si>
  <si>
    <t>Viola</t>
  </si>
  <si>
    <t>+41 793970603</t>
  </si>
  <si>
    <t>viola.kaiser@zoho.com</t>
  </si>
  <si>
    <t>Haselnüsse</t>
  </si>
  <si>
    <t xml:space="preserve">Christian </t>
  </si>
  <si>
    <t xml:space="preserve">CSS </t>
  </si>
  <si>
    <t>+41 789227234</t>
  </si>
  <si>
    <t>Mutuel Krankenversicherung AG</t>
  </si>
  <si>
    <t>Euthyrox 37.5</t>
  </si>
  <si>
    <t xml:space="preserve">Sadrettin </t>
  </si>
  <si>
    <t xml:space="preserve">Kaya </t>
  </si>
  <si>
    <t>+41 779768030</t>
  </si>
  <si>
    <t>Sadrettinkaya@hotmail.com</t>
  </si>
  <si>
    <t xml:space="preserve">Ich habe </t>
  </si>
  <si>
    <t xml:space="preserve">Dafalgan für Migräne </t>
  </si>
  <si>
    <t xml:space="preserve">Anani </t>
  </si>
  <si>
    <t>Deng</t>
  </si>
  <si>
    <t>+41 78 305 80 39</t>
  </si>
  <si>
    <t>Tatjana</t>
  </si>
  <si>
    <t>SWICA</t>
  </si>
  <si>
    <t>swica</t>
  </si>
  <si>
    <t>Kiefer</t>
  </si>
  <si>
    <t>Catherine</t>
  </si>
  <si>
    <t>Ruflin</t>
  </si>
  <si>
    <t>+41 764409181</t>
  </si>
  <si>
    <t>catherine@ruflin.ch</t>
  </si>
  <si>
    <t>+41 764260632</t>
  </si>
  <si>
    <t>anjakuendig@hispeed.ch</t>
  </si>
  <si>
    <t>Marcela</t>
  </si>
  <si>
    <t>Donato</t>
  </si>
  <si>
    <t>+41 78 403 8197</t>
  </si>
  <si>
    <t xml:space="preserve">Erhard </t>
  </si>
  <si>
    <t>+41 794030406</t>
  </si>
  <si>
    <t>+41 763849543</t>
  </si>
  <si>
    <t>Ruth</t>
  </si>
  <si>
    <t>+41 794076390</t>
  </si>
  <si>
    <t>r.k.jonsen@hotmail.com</t>
  </si>
  <si>
    <t>Sympany</t>
  </si>
  <si>
    <t>Zurich Versicherungen</t>
  </si>
  <si>
    <t xml:space="preserve">Laurence </t>
  </si>
  <si>
    <t>Minisini</t>
  </si>
  <si>
    <t>+41 793499054</t>
  </si>
  <si>
    <t>Groupemutuel</t>
  </si>
  <si>
    <t>Isabelle</t>
  </si>
  <si>
    <t>Widmer Märki</t>
  </si>
  <si>
    <t>+41 793775680</t>
  </si>
  <si>
    <t>Marco</t>
  </si>
  <si>
    <t>meiermarco@hotmail.com</t>
  </si>
  <si>
    <t>SUVA</t>
  </si>
  <si>
    <t>Rebecca</t>
  </si>
  <si>
    <t>Hard</t>
  </si>
  <si>
    <t>+41 795056454</t>
  </si>
  <si>
    <t>Nicole und Patrick</t>
  </si>
  <si>
    <t>+41 793547144</t>
  </si>
  <si>
    <t>meynicole@hotmail.com</t>
  </si>
  <si>
    <t>Symbicort - Asthmaspray</t>
  </si>
  <si>
    <t>Lucienne</t>
  </si>
  <si>
    <t>+41 797735452</t>
  </si>
  <si>
    <t>lucytraktor@gmail.com</t>
  </si>
  <si>
    <t>Christian</t>
  </si>
  <si>
    <t>Sieber</t>
  </si>
  <si>
    <t>+41 77 482 9944</t>
  </si>
  <si>
    <t>Assura</t>
  </si>
  <si>
    <t>Claudio</t>
  </si>
  <si>
    <t>Keller</t>
  </si>
  <si>
    <t>+41 78 349 19 24</t>
  </si>
  <si>
    <t>+41 792570019</t>
  </si>
  <si>
    <t>Thüler</t>
  </si>
  <si>
    <t>+41 795696477</t>
  </si>
  <si>
    <t>lindath@bluewin.ch</t>
  </si>
  <si>
    <t>Kamila</t>
  </si>
  <si>
    <t>Nguyen Ruscakova</t>
  </si>
  <si>
    <t>Sanitas</t>
  </si>
  <si>
    <t>Erika</t>
  </si>
  <si>
    <t>Oberson</t>
  </si>
  <si>
    <t>erikacris@yahoo.com</t>
  </si>
  <si>
    <t>ERIKA</t>
  </si>
  <si>
    <t>Sanda</t>
  </si>
  <si>
    <t>Stoiciu</t>
  </si>
  <si>
    <t>Ekateryna</t>
  </si>
  <si>
    <t>+41 793358216</t>
  </si>
  <si>
    <t>Katerynapestereva@gmail.com</t>
  </si>
  <si>
    <t xml:space="preserve">Meike </t>
  </si>
  <si>
    <t>Sonnemann-Pompe</t>
  </si>
  <si>
    <t>+41 77 493 52 84</t>
  </si>
  <si>
    <t xml:space="preserve">Sanitas </t>
  </si>
  <si>
    <t>Iryna</t>
  </si>
  <si>
    <t>Ponomaryova</t>
  </si>
  <si>
    <t>+41 765936925</t>
  </si>
  <si>
    <t>Stefan</t>
  </si>
  <si>
    <t>+41 796583567</t>
  </si>
  <si>
    <t>Stefan.rauber@gmx.net</t>
  </si>
  <si>
    <t>Simone &amp; Markus</t>
  </si>
  <si>
    <t>+41 787683335</t>
  </si>
  <si>
    <t>simoneriner@hotmail.com</t>
  </si>
  <si>
    <t>Franziska</t>
  </si>
  <si>
    <t>Aleksandra</t>
  </si>
  <si>
    <t>+41 784219492</t>
  </si>
  <si>
    <t>+41 79 775 04 08</t>
  </si>
  <si>
    <t xml:space="preserve">Andrea </t>
  </si>
  <si>
    <t>Ryser</t>
  </si>
  <si>
    <t>+41 786648695</t>
  </si>
  <si>
    <t>andreav.ryser@gmail.com</t>
  </si>
  <si>
    <t>+41 79 440 51 47</t>
  </si>
  <si>
    <t>Oliver</t>
  </si>
  <si>
    <t>Désirée</t>
  </si>
  <si>
    <t xml:space="preserve">Rieser </t>
  </si>
  <si>
    <t>+41 79 346 54 36</t>
  </si>
  <si>
    <t xml:space="preserve">Manuela </t>
  </si>
  <si>
    <t>Groupe mutuel</t>
  </si>
  <si>
    <t>Pascal</t>
  </si>
  <si>
    <t>+41 765453964</t>
  </si>
  <si>
    <t>allegra1975@gmail.com</t>
  </si>
  <si>
    <t>Vincent</t>
  </si>
  <si>
    <t>+41 763216954</t>
  </si>
  <si>
    <t>vincent.stadelmann@gmail.com</t>
  </si>
  <si>
    <t>1 x Concerta 36mg Morgens</t>
  </si>
  <si>
    <t>Debora</t>
  </si>
  <si>
    <t>ASSURA</t>
  </si>
  <si>
    <t>Leisen</t>
  </si>
  <si>
    <t>+41 767783695</t>
  </si>
  <si>
    <t>leysenvasbi@gmail.com</t>
  </si>
  <si>
    <t>Michael</t>
  </si>
  <si>
    <t>+41 786665269</t>
  </si>
  <si>
    <t>Ashraf</t>
  </si>
  <si>
    <t>keine Schweinefleisch</t>
  </si>
  <si>
    <t>AEWALI@GMAIL.COM</t>
  </si>
  <si>
    <t>+41 774015604</t>
  </si>
  <si>
    <t xml:space="preserve">Brigitte </t>
  </si>
  <si>
    <t>+41 797923720</t>
  </si>
  <si>
    <t>gigi.weber80@gmail.com</t>
  </si>
  <si>
    <t>Mathias</t>
  </si>
  <si>
    <t>Wegmüller</t>
  </si>
  <si>
    <t>+41 763827148</t>
  </si>
  <si>
    <t>mathias.wegmueller@gmail.com</t>
  </si>
  <si>
    <t>Susanna</t>
  </si>
  <si>
    <t>+41 788397983</t>
  </si>
  <si>
    <t>susanna.wetter@gmail.com</t>
  </si>
  <si>
    <t>Beat</t>
  </si>
  <si>
    <t>Hubmann</t>
  </si>
  <si>
    <t>+41 767011156</t>
  </si>
  <si>
    <t>beat.hubmann@proton.me</t>
  </si>
  <si>
    <t>Berger</t>
  </si>
  <si>
    <t>+41 765029693</t>
  </si>
  <si>
    <t>daniel.berger.2014@marshall.usc.edu</t>
  </si>
  <si>
    <t>Rebekka</t>
  </si>
  <si>
    <t>+41 793615622</t>
  </si>
  <si>
    <t>lindath@gmx.ch</t>
  </si>
  <si>
    <t>Sandra</t>
  </si>
  <si>
    <t>+41 786446797</t>
  </si>
  <si>
    <t>zobrist.s@gmx.ch</t>
  </si>
  <si>
    <t xml:space="preserve">Jaël </t>
  </si>
  <si>
    <t>Lohri</t>
  </si>
  <si>
    <t>+41 76 460 21 72</t>
  </si>
  <si>
    <t>Lohri Zulauf</t>
  </si>
  <si>
    <t>Eva</t>
  </si>
  <si>
    <t>+41 774005113</t>
  </si>
  <si>
    <t>Eva.Zurlinden@gmx.ch</t>
  </si>
  <si>
    <t>Vz Versicherungen</t>
  </si>
  <si>
    <t xml:space="preserve">Levetiracetam (Epilepsiemedikament) morgens und abends eine Tablette </t>
  </si>
  <si>
    <t>Fischbach-Göslikon</t>
  </si>
  <si>
    <t>Lenzburg</t>
  </si>
  <si>
    <t>Würenlos</t>
  </si>
  <si>
    <t>Oberentfelden</t>
  </si>
  <si>
    <t>Gächlingen</t>
  </si>
  <si>
    <t>Magglingen</t>
  </si>
  <si>
    <t>Buchs</t>
  </si>
  <si>
    <t>Erlinsbach</t>
  </si>
  <si>
    <t>Koblenz</t>
  </si>
  <si>
    <t>Aesch</t>
  </si>
  <si>
    <t>Dürrenäsch</t>
  </si>
  <si>
    <t>Küttigen</t>
  </si>
  <si>
    <t>Ehrendingen</t>
  </si>
  <si>
    <t>Schafisheim</t>
  </si>
  <si>
    <t>Untersiggenthal</t>
  </si>
  <si>
    <t>Weinfelden</t>
  </si>
  <si>
    <t>Merenschwand</t>
  </si>
  <si>
    <t>Suhr</t>
  </si>
  <si>
    <t>Bettwil</t>
  </si>
  <si>
    <t>Schaffhausen</t>
  </si>
  <si>
    <t>Rupperswil</t>
  </si>
  <si>
    <t>Unterlunkhofen</t>
  </si>
  <si>
    <t>Schüpfen</t>
  </si>
  <si>
    <t>Mühlethal</t>
  </si>
  <si>
    <t>Gränichen</t>
  </si>
  <si>
    <t>Muhen</t>
  </si>
  <si>
    <t>Unterentfelden</t>
  </si>
  <si>
    <t>Hedingen</t>
  </si>
  <si>
    <t>Hägglingen</t>
  </si>
  <si>
    <t>Wildegg</t>
  </si>
  <si>
    <t>Mellingen</t>
  </si>
  <si>
    <t>Winkel</t>
  </si>
  <si>
    <t>Frauenfeld</t>
  </si>
  <si>
    <t>Künten</t>
  </si>
  <si>
    <t>Wald</t>
  </si>
  <si>
    <t>Zeihen</t>
  </si>
  <si>
    <t>Rheinfelden</t>
  </si>
  <si>
    <t>Sisseln</t>
  </si>
  <si>
    <t>Oberkulm</t>
  </si>
  <si>
    <t>Winterthur</t>
  </si>
  <si>
    <t>Möriken</t>
  </si>
  <si>
    <t>Dättwil</t>
  </si>
  <si>
    <t>Dietlikon</t>
  </si>
  <si>
    <t>Hunzenschwil</t>
  </si>
  <si>
    <t>Lausanne</t>
  </si>
  <si>
    <t>Wilchingen</t>
  </si>
  <si>
    <t>Lustmühle</t>
  </si>
  <si>
    <t>Thayngen</t>
  </si>
  <si>
    <t>Neuenhof</t>
  </si>
  <si>
    <t>Fehraltorf</t>
  </si>
  <si>
    <t>Sarmenstorf</t>
  </si>
  <si>
    <t>Hermetschwil-Staffeln</t>
  </si>
  <si>
    <t>Seengen</t>
  </si>
  <si>
    <t>Muri</t>
  </si>
  <si>
    <t>Riniken</t>
  </si>
  <si>
    <t>Obermumpf</t>
  </si>
  <si>
    <t>Mettmenstetten</t>
  </si>
  <si>
    <t>Benzenschwil</t>
  </si>
  <si>
    <t>Zofingen</t>
  </si>
  <si>
    <t>Breganzona</t>
  </si>
  <si>
    <t>Densbüren</t>
  </si>
  <si>
    <t>Hofstetten</t>
  </si>
  <si>
    <t>Evilard</t>
  </si>
  <si>
    <t>Full-Reuenthal</t>
  </si>
  <si>
    <t>Bellikon</t>
  </si>
  <si>
    <t>Biberstein</t>
  </si>
  <si>
    <t>Neuhausen am Rheinfall</t>
  </si>
  <si>
    <t>Biel</t>
  </si>
  <si>
    <t>Aarau Rohr</t>
  </si>
  <si>
    <t>Vegan</t>
  </si>
  <si>
    <t>Angst vor Turmspringen</t>
  </si>
  <si>
    <t>Mit Elea Kaiser in Gruppe &amp; Zelt</t>
  </si>
  <si>
    <t xml:space="preserve">Mit Maxime Nguen </t>
  </si>
  <si>
    <t>Pollenallergie</t>
  </si>
  <si>
    <t>Gerne Volleyball als erste Priorität und Tennis als zweite Priorität wählen.</t>
  </si>
  <si>
    <t>756.2497.0467.61</t>
  </si>
  <si>
    <t xml:space="preserve">Mit Sophie Rohner </t>
  </si>
  <si>
    <t>Falls es Platz hat, hätte ich lieber  Volleyball</t>
  </si>
  <si>
    <t>1. Prio Hauptsportart Wassersport</t>
  </si>
  <si>
    <t xml:space="preserve">Brugg </t>
  </si>
  <si>
    <t xml:space="preserve">Waldhäusern </t>
  </si>
  <si>
    <t xml:space="preserve">Birmenstorf </t>
  </si>
  <si>
    <t>Gönhardweg 24</t>
  </si>
  <si>
    <t>078 751 06 47</t>
  </si>
  <si>
    <t>078 663 88 38</t>
  </si>
  <si>
    <t>078 600 73 83</t>
  </si>
  <si>
    <t>Nuria ist Asthmatikerin, sie nimmt ihre Medikamente mit, 
hat aber nur wenige körperliche Einschränkung bei sportlichen Aktivitäten.</t>
  </si>
  <si>
    <t>Manchmal hat Leo Migräne, er nimmt entsprechende Medikamente mit,
 bei Bedarf eigenständig einnehmen kann/darf.</t>
  </si>
  <si>
    <t>Bilaxten Schmelztabletten, 20mg, bei Heuschnupfen eine Tablette auf der Zuge zergehen lassen
Symbicort 150 Turbuhaler, bei Astma 1-2 stösse nehmen
Triofan Augentropfen, bei Heuschnupfen in die Augen geben</t>
  </si>
  <si>
    <t>Herzig</t>
  </si>
  <si>
    <t xml:space="preserve">Anina </t>
  </si>
  <si>
    <t>Plz</t>
  </si>
  <si>
    <t>AhvNummer</t>
  </si>
  <si>
    <t>Kann schon Schwimmen aber war noch nie in einem 
offenen Gewässer (See, Fluss) und nicht über lange Strecken, Poollänge geht</t>
  </si>
  <si>
    <t>Hauptsportart Prio1</t>
  </si>
  <si>
    <t>Hauptsportart Prio2</t>
  </si>
  <si>
    <t>Teilnehmende</t>
  </si>
  <si>
    <t>Hauptsportart</t>
  </si>
  <si>
    <t>Eltern Vorname</t>
  </si>
  <si>
    <t>Eltern Nachname</t>
  </si>
  <si>
    <t>Eltern Mobile</t>
  </si>
  <si>
    <t>Eltern E-Mail</t>
  </si>
  <si>
    <t>Akro/Partnerakrobatik</t>
  </si>
  <si>
    <t>Schwimmsport (SUP, Wasserball, Turmspringen, Schwimmen)</t>
  </si>
  <si>
    <t xml:space="preserve">Tennis und mehr </t>
  </si>
  <si>
    <t xml:space="preserve">Volleyball </t>
  </si>
  <si>
    <t xml:space="preserve">Schwimmsport </t>
  </si>
  <si>
    <t xml:space="preserve">Parkour &amp; co </t>
  </si>
  <si>
    <t xml:space="preserve">Leichtathletik </t>
  </si>
  <si>
    <t xml:space="preserve">Kampfsport </t>
  </si>
  <si>
    <t xml:space="preserve">Beachvolleyball </t>
  </si>
  <si>
    <t xml:space="preserve">Ballsport </t>
  </si>
  <si>
    <t>Abas</t>
  </si>
  <si>
    <t>Aline Timea</t>
  </si>
  <si>
    <t>Fatih Cemal</t>
  </si>
  <si>
    <t>Ich kann nur schlecht schwimmen. Kann alleine im See schwimmen</t>
  </si>
  <si>
    <t>Ich kann schwimmen. Nicht so lange strecken, aber kann schwimmen.</t>
  </si>
  <si>
    <t xml:space="preserve">Ich kann schwimmen. Er geht auf den Sprungturm. </t>
  </si>
  <si>
    <t xml:space="preserve">Ich kann nicht schwimmen. Hat eine Wasserphobie. </t>
  </si>
  <si>
    <t>Rhozen</t>
  </si>
  <si>
    <t>Gioia Lucy</t>
  </si>
  <si>
    <t>Kilian</t>
  </si>
  <si>
    <t>Svenja</t>
  </si>
  <si>
    <t xml:space="preserve">Svenja </t>
  </si>
  <si>
    <t>Dätwyler</t>
  </si>
  <si>
    <t>756.5166.5142.71</t>
  </si>
  <si>
    <t xml:space="preserve">Kafi  </t>
  </si>
  <si>
    <t xml:space="preserve">Ahmed Mubarak </t>
  </si>
  <si>
    <t>Ahmed Mubarak</t>
  </si>
  <si>
    <t>Dion</t>
  </si>
  <si>
    <t>Léon</t>
  </si>
  <si>
    <t>756.3486.6233.45</t>
  </si>
  <si>
    <t xml:space="preserve">Ich kann schwimmen. Er ist einfach nicht so sicher. </t>
  </si>
  <si>
    <t xml:space="preserve">Er kann schwimmen. Er ist einfach nicht so sicher. </t>
  </si>
  <si>
    <t>Er kann schwimmen, einfach nicht so lange Strecken.</t>
  </si>
  <si>
    <t xml:space="preserve">Er kann schwimmen. Er geht auf den Sprungturm. </t>
  </si>
  <si>
    <t xml:space="preserve">Sie kann nicht schwimmen. Hat eine Wasserphobie. </t>
  </si>
  <si>
    <t xml:space="preserve">Sie kann nur schlecht schwimmen, aber alleine im See </t>
  </si>
  <si>
    <t>Schweinefleisch</t>
  </si>
  <si>
    <t xml:space="preserve">Schweinefleisch </t>
  </si>
  <si>
    <t>Daniela &amp; Marcel</t>
  </si>
  <si>
    <t>Nicole &amp; Patrick</t>
  </si>
  <si>
    <t>Bilaxten Schmelztabletten, 20mg, bei Heuschnupfen eine Tablette auf der Zunge zergehen lassen
Symbicort 150 Turbuhaler, bei Astma 1-2 stösse nehmen
Triofan Augentropfen, bei Heuschnupfen in die Augen geben</t>
  </si>
  <si>
    <t>AT24</t>
  </si>
  <si>
    <t>AT27</t>
  </si>
  <si>
    <t>AT23</t>
  </si>
  <si>
    <t>Im Kinderheim St.Benedikt in Hermetschwil, zuständig ist seine Bezugsperson M.Schneider.</t>
  </si>
  <si>
    <t>Alter</t>
  </si>
  <si>
    <t>Zelt Nr.</t>
  </si>
  <si>
    <t>Zug</t>
  </si>
  <si>
    <t>Willy*</t>
  </si>
  <si>
    <t xml:space="preserve">* wird vermutlich die Sportart wechseln aufgrund von einer Verletzung </t>
  </si>
  <si>
    <t>Rainackerstrasse 30</t>
  </si>
  <si>
    <t>Biberist</t>
  </si>
  <si>
    <t>076 426 07 18</t>
  </si>
  <si>
    <t xml:space="preserve">Greter </t>
  </si>
  <si>
    <t>Im Betliacher 9</t>
  </si>
  <si>
    <t>079 812 80 65</t>
  </si>
  <si>
    <t>anina.greter@bluewin.ch</t>
  </si>
  <si>
    <t>Herzogstrasse 3A</t>
  </si>
  <si>
    <t>078 949 13 03</t>
  </si>
  <si>
    <t>079 381 61 22</t>
  </si>
  <si>
    <t>078 920 93 99</t>
  </si>
  <si>
    <t>079 125 12 16</t>
  </si>
  <si>
    <t>076 224 23 12</t>
  </si>
  <si>
    <t>Rütihof</t>
  </si>
  <si>
    <t>Engelbergstrasse 12</t>
  </si>
  <si>
    <t>Girixweg 43</t>
  </si>
  <si>
    <t>Konsumstrasse 5A</t>
  </si>
  <si>
    <t>Bleuerhofstrasse 20</t>
  </si>
  <si>
    <t>Zopfweg 2</t>
  </si>
  <si>
    <t>Büttenenhalde 37</t>
  </si>
  <si>
    <t>Stygenholden 6</t>
  </si>
  <si>
    <t>Oftringen</t>
  </si>
  <si>
    <t>Staufen</t>
  </si>
  <si>
    <t>Attiswil Bern</t>
  </si>
  <si>
    <t>Grossdietwil</t>
  </si>
  <si>
    <t>Luzern</t>
  </si>
  <si>
    <t>Hellikon AG</t>
  </si>
  <si>
    <t>078 716 30 39</t>
  </si>
  <si>
    <t>077 409 55 24</t>
  </si>
  <si>
    <t>079 511 85 03</t>
  </si>
  <si>
    <t>076 410 50 52</t>
  </si>
  <si>
    <t>079 585 52 49</t>
  </si>
  <si>
    <t>079 889 75 71</t>
  </si>
  <si>
    <t>079 414 84 64</t>
  </si>
  <si>
    <t>077 257 07 03</t>
  </si>
  <si>
    <t>078 851 65 41</t>
  </si>
  <si>
    <t xml:space="preserve">Buchserstrasse 30  </t>
  </si>
  <si>
    <t xml:space="preserve">wird vermutlich die Sportart wechseln aufgrund von einer Verletzung </t>
  </si>
  <si>
    <t>Einteilung Zelte Mädchen</t>
  </si>
  <si>
    <t>Einteilung Zelte Jungs</t>
  </si>
  <si>
    <t>Mit Amena Weber und Livia Hauser</t>
  </si>
  <si>
    <t xml:space="preserve">Mit Lena Zobrist, Valentina Widmer und Gioia Huber </t>
  </si>
  <si>
    <t>Mit Linda Huber</t>
  </si>
  <si>
    <t>Mit Jenna Di Carmine</t>
  </si>
  <si>
    <t xml:space="preserve">Mit Marc Emmenegger  </t>
  </si>
  <si>
    <t xml:space="preserve">Mit Arthur Malouvier </t>
  </si>
  <si>
    <t xml:space="preserve">Mit Flurin Geiser </t>
  </si>
  <si>
    <t xml:space="preserve">Mit Aday Hadad </t>
  </si>
  <si>
    <t>Mit Ventsislav Jordan</t>
  </si>
  <si>
    <t xml:space="preserve">Mit Noelia Reho, Lina Schweri, Lenna Wegmüller, Elena Schlatter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</si>
</sst>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name val="Calibri"/>
    </font>
    <font>
      <b/>
      <sz val="16"/>
      <name val="Calibri"/>
      <family val="2"/>
    </font>
    <font>
      <sz val="16"/>
      <name val="Calibri"/>
      <family val="2"/>
    </font>
    <font>
      <b/>
      <sz val="16"/>
      <color theme="0"/>
      <name val="Calibri"/>
      <family val="2"/>
    </font>
    <font>
      <sz val="16"/>
      <color theme="1"/>
      <name val="Calibri"/>
      <family val="2"/>
    </font>
    <font>
      <sz val="8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</fonts>
  <fills count="40">
    <fill>
      <patternFill patternType="none"/>
    </fill>
    <fill>
      <patternFill patternType="gray125"/>
    </fill>
    <fill>
      <patternFill patternType="solid">
        <fgColor rgb="FF7A7A7A"/>
        <bgColor theme="4"/>
      </patternFill>
    </fill>
    <fill>
      <patternFill patternType="solid">
        <fgColor rgb="FFD8E4BC"/>
        <bgColor theme="4" tint="0.79998168889431442"/>
      </patternFill>
    </fill>
    <fill>
      <patternFill patternType="solid">
        <fgColor rgb="FFD8E4BC"/>
        <bgColor theme="4" tint="0.59999389629810485"/>
      </patternFill>
    </fill>
    <fill>
      <patternFill patternType="solid">
        <fgColor rgb="FFDAEEF3"/>
        <bgColor theme="4" tint="0.59999389629810485"/>
      </patternFill>
    </fill>
    <fill>
      <patternFill patternType="solid">
        <fgColor rgb="FFDAEEF3"/>
        <bgColor theme="4" tint="0.79998168889431442"/>
      </patternFill>
    </fill>
    <fill>
      <patternFill patternType="solid">
        <fgColor rgb="FFFABF8F"/>
        <bgColor theme="4" tint="0.79998168889431442"/>
      </patternFill>
    </fill>
    <fill>
      <patternFill patternType="solid">
        <fgColor rgb="FFFABF8F"/>
        <bgColor theme="4" tint="0.59999389629810485"/>
      </patternFill>
    </fill>
    <fill>
      <patternFill patternType="solid">
        <fgColor rgb="FFC5D9F1"/>
        <bgColor theme="4" tint="0.59999389629810485"/>
      </patternFill>
    </fill>
    <fill>
      <patternFill patternType="solid">
        <fgColor rgb="FFC5D9F1"/>
        <bgColor theme="4" tint="0.79998168889431442"/>
      </patternFill>
    </fill>
    <fill>
      <patternFill patternType="solid">
        <fgColor rgb="FFA2ACF8"/>
        <bgColor theme="4" tint="0.79998168889431442"/>
      </patternFill>
    </fill>
    <fill>
      <patternFill patternType="solid">
        <fgColor rgb="FFA2ACF8"/>
        <bgColor theme="4" tint="0.59999389629810485"/>
      </patternFill>
    </fill>
    <fill>
      <patternFill patternType="solid">
        <fgColor rgb="FFB7DEE8"/>
        <bgColor theme="4" tint="0.59999389629810485"/>
      </patternFill>
    </fill>
    <fill>
      <patternFill patternType="solid">
        <fgColor rgb="FFB7DEE8"/>
        <bgColor theme="4" tint="0.79998168889431442"/>
      </patternFill>
    </fill>
    <fill>
      <patternFill patternType="solid">
        <fgColor rgb="FFFFFF99"/>
        <bgColor theme="4" tint="0.79998168889431442"/>
      </patternFill>
    </fill>
    <fill>
      <patternFill patternType="solid">
        <fgColor rgb="FFFFFF99"/>
        <bgColor theme="4" tint="0.59999389629810485"/>
      </patternFill>
    </fill>
    <fill>
      <patternFill patternType="solid">
        <fgColor rgb="FFE3E4FD"/>
        <bgColor theme="4" tint="0.59999389629810485"/>
      </patternFill>
    </fill>
    <fill>
      <patternFill patternType="solid">
        <fgColor rgb="FFE3E4FD"/>
        <bgColor theme="4" tint="0.79998168889431442"/>
      </patternFill>
    </fill>
    <fill>
      <patternFill patternType="solid">
        <fgColor rgb="FFF2DCDB"/>
        <bgColor theme="4" tint="0.59999389629810485"/>
      </patternFill>
    </fill>
    <fill>
      <patternFill patternType="solid">
        <fgColor rgb="FFF2DCDB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theme="4" tint="0.59999389629810485"/>
      </patternFill>
    </fill>
    <fill>
      <patternFill patternType="solid">
        <fgColor theme="8" tint="0.59999389629810485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59999389629810485"/>
        <bgColor theme="4" tint="0.5999938962981048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3E4FD"/>
        <bgColor indexed="64"/>
      </patternFill>
    </fill>
    <fill>
      <patternFill patternType="solid">
        <fgColor rgb="FF7AC3D4"/>
        <bgColor indexed="64"/>
      </patternFill>
    </fill>
    <fill>
      <patternFill patternType="solid">
        <fgColor rgb="FFA2ACF8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6" xfId="0" applyFont="1" applyFill="1" applyBorder="1" applyAlignment="1">
      <alignment wrapText="1"/>
    </xf>
    <xf numFmtId="0" fontId="5" fillId="3" borderId="1" xfId="0" applyFont="1" applyFill="1" applyBorder="1"/>
    <xf numFmtId="0" fontId="5" fillId="3" borderId="2" xfId="0" applyFont="1" applyFill="1" applyBorder="1"/>
    <xf numFmtId="0" fontId="5" fillId="3" borderId="2" xfId="0" applyFont="1" applyFill="1" applyBorder="1" applyAlignment="1">
      <alignment wrapText="1"/>
    </xf>
    <xf numFmtId="0" fontId="5" fillId="4" borderId="1" xfId="0" applyFont="1" applyFill="1" applyBorder="1"/>
    <xf numFmtId="0" fontId="5" fillId="4" borderId="2" xfId="0" applyFont="1" applyFill="1" applyBorder="1"/>
    <xf numFmtId="0" fontId="5" fillId="4" borderId="2" xfId="0" applyFont="1" applyFill="1" applyBorder="1" applyAlignment="1">
      <alignment wrapText="1"/>
    </xf>
    <xf numFmtId="0" fontId="5" fillId="5" borderId="1" xfId="0" applyFont="1" applyFill="1" applyBorder="1"/>
    <xf numFmtId="0" fontId="5" fillId="5" borderId="2" xfId="0" applyFont="1" applyFill="1" applyBorder="1"/>
    <xf numFmtId="0" fontId="5" fillId="26" borderId="2" xfId="0" applyFont="1" applyFill="1" applyBorder="1"/>
    <xf numFmtId="0" fontId="5" fillId="5" borderId="2" xfId="0" applyFont="1" applyFill="1" applyBorder="1" applyAlignment="1">
      <alignment wrapText="1"/>
    </xf>
    <xf numFmtId="0" fontId="5" fillId="25" borderId="2" xfId="0" applyFont="1" applyFill="1" applyBorder="1"/>
    <xf numFmtId="0" fontId="5" fillId="6" borderId="1" xfId="0" applyFont="1" applyFill="1" applyBorder="1"/>
    <xf numFmtId="0" fontId="5" fillId="6" borderId="2" xfId="0" applyFont="1" applyFill="1" applyBorder="1"/>
    <xf numFmtId="0" fontId="5" fillId="6" borderId="2" xfId="0" applyFont="1" applyFill="1" applyBorder="1" applyAlignment="1">
      <alignment wrapText="1"/>
    </xf>
    <xf numFmtId="0" fontId="5" fillId="7" borderId="1" xfId="0" applyFont="1" applyFill="1" applyBorder="1"/>
    <xf numFmtId="0" fontId="5" fillId="7" borderId="2" xfId="0" applyFont="1" applyFill="1" applyBorder="1"/>
    <xf numFmtId="0" fontId="5" fillId="7" borderId="2" xfId="0" applyFont="1" applyFill="1" applyBorder="1" applyAlignment="1">
      <alignment wrapText="1"/>
    </xf>
    <xf numFmtId="0" fontId="5" fillId="8" borderId="1" xfId="0" applyFont="1" applyFill="1" applyBorder="1"/>
    <xf numFmtId="0" fontId="5" fillId="8" borderId="2" xfId="0" applyFont="1" applyFill="1" applyBorder="1"/>
    <xf numFmtId="0" fontId="5" fillId="8" borderId="2" xfId="0" applyFont="1" applyFill="1" applyBorder="1" applyAlignment="1">
      <alignment wrapText="1"/>
    </xf>
    <xf numFmtId="0" fontId="5" fillId="9" borderId="1" xfId="0" applyFont="1" applyFill="1" applyBorder="1"/>
    <xf numFmtId="0" fontId="5" fillId="9" borderId="2" xfId="0" applyFont="1" applyFill="1" applyBorder="1"/>
    <xf numFmtId="0" fontId="5" fillId="9" borderId="2" xfId="0" applyFont="1" applyFill="1" applyBorder="1" applyAlignment="1">
      <alignment wrapText="1"/>
    </xf>
    <xf numFmtId="0" fontId="5" fillId="10" borderId="1" xfId="0" applyFont="1" applyFill="1" applyBorder="1"/>
    <xf numFmtId="0" fontId="5" fillId="10" borderId="2" xfId="0" applyFont="1" applyFill="1" applyBorder="1"/>
    <xf numFmtId="0" fontId="5" fillId="10" borderId="2" xfId="0" applyFont="1" applyFill="1" applyBorder="1" applyAlignment="1">
      <alignment wrapText="1"/>
    </xf>
    <xf numFmtId="0" fontId="5" fillId="27" borderId="2" xfId="0" applyFont="1" applyFill="1" applyBorder="1"/>
    <xf numFmtId="0" fontId="5" fillId="11" borderId="1" xfId="0" applyFont="1" applyFill="1" applyBorder="1"/>
    <xf numFmtId="0" fontId="5" fillId="11" borderId="2" xfId="0" applyFont="1" applyFill="1" applyBorder="1"/>
    <xf numFmtId="0" fontId="5" fillId="22" borderId="2" xfId="0" applyFont="1" applyFill="1" applyBorder="1"/>
    <xf numFmtId="0" fontId="5" fillId="12" borderId="2" xfId="0" applyFont="1" applyFill="1" applyBorder="1"/>
    <xf numFmtId="0" fontId="5" fillId="11" borderId="2" xfId="0" applyFont="1" applyFill="1" applyBorder="1" applyAlignment="1">
      <alignment wrapText="1"/>
    </xf>
    <xf numFmtId="0" fontId="5" fillId="12" borderId="1" xfId="0" applyFont="1" applyFill="1" applyBorder="1"/>
    <xf numFmtId="0" fontId="5" fillId="12" borderId="2" xfId="0" applyFont="1" applyFill="1" applyBorder="1" applyAlignment="1">
      <alignment wrapText="1"/>
    </xf>
    <xf numFmtId="0" fontId="5" fillId="21" borderId="2" xfId="0" applyFont="1" applyFill="1" applyBorder="1"/>
    <xf numFmtId="0" fontId="5" fillId="13" borderId="1" xfId="0" applyFont="1" applyFill="1" applyBorder="1"/>
    <xf numFmtId="0" fontId="5" fillId="13" borderId="2" xfId="0" applyFont="1" applyFill="1" applyBorder="1"/>
    <xf numFmtId="0" fontId="5" fillId="13" borderId="2" xfId="0" applyFont="1" applyFill="1" applyBorder="1" applyAlignment="1">
      <alignment wrapText="1"/>
    </xf>
    <xf numFmtId="0" fontId="5" fillId="14" borderId="1" xfId="0" applyFont="1" applyFill="1" applyBorder="1"/>
    <xf numFmtId="0" fontId="5" fillId="14" borderId="2" xfId="0" applyFont="1" applyFill="1" applyBorder="1"/>
    <xf numFmtId="0" fontId="5" fillId="14" borderId="2" xfId="0" applyFont="1" applyFill="1" applyBorder="1" applyAlignment="1">
      <alignment wrapText="1"/>
    </xf>
    <xf numFmtId="0" fontId="5" fillId="17" borderId="1" xfId="0" applyFont="1" applyFill="1" applyBorder="1"/>
    <xf numFmtId="0" fontId="5" fillId="17" borderId="2" xfId="0" applyFont="1" applyFill="1" applyBorder="1"/>
    <xf numFmtId="0" fontId="5" fillId="17" borderId="2" xfId="0" applyFont="1" applyFill="1" applyBorder="1" applyAlignment="1">
      <alignment wrapText="1"/>
    </xf>
    <xf numFmtId="0" fontId="5" fillId="18" borderId="1" xfId="0" applyFont="1" applyFill="1" applyBorder="1"/>
    <xf numFmtId="0" fontId="5" fillId="18" borderId="2" xfId="0" applyFont="1" applyFill="1" applyBorder="1"/>
    <xf numFmtId="0" fontId="5" fillId="18" borderId="2" xfId="0" applyFont="1" applyFill="1" applyBorder="1" applyAlignment="1">
      <alignment wrapText="1"/>
    </xf>
    <xf numFmtId="0" fontId="5" fillId="15" borderId="1" xfId="0" applyFont="1" applyFill="1" applyBorder="1"/>
    <xf numFmtId="0" fontId="5" fillId="15" borderId="2" xfId="0" applyFont="1" applyFill="1" applyBorder="1"/>
    <xf numFmtId="0" fontId="5" fillId="15" borderId="2" xfId="0" applyFont="1" applyFill="1" applyBorder="1" applyAlignment="1">
      <alignment wrapText="1"/>
    </xf>
    <xf numFmtId="0" fontId="5" fillId="16" borderId="1" xfId="0" applyFont="1" applyFill="1" applyBorder="1"/>
    <xf numFmtId="0" fontId="5" fillId="16" borderId="2" xfId="0" applyFont="1" applyFill="1" applyBorder="1"/>
    <xf numFmtId="0" fontId="5" fillId="16" borderId="2" xfId="0" applyFont="1" applyFill="1" applyBorder="1" applyAlignment="1">
      <alignment wrapText="1"/>
    </xf>
    <xf numFmtId="0" fontId="5" fillId="19" borderId="1" xfId="0" applyFont="1" applyFill="1" applyBorder="1"/>
    <xf numFmtId="0" fontId="5" fillId="19" borderId="2" xfId="0" applyFont="1" applyFill="1" applyBorder="1"/>
    <xf numFmtId="0" fontId="5" fillId="19" borderId="2" xfId="0" applyFont="1" applyFill="1" applyBorder="1" applyAlignment="1">
      <alignment wrapText="1"/>
    </xf>
    <xf numFmtId="0" fontId="5" fillId="20" borderId="1" xfId="0" applyFont="1" applyFill="1" applyBorder="1"/>
    <xf numFmtId="0" fontId="5" fillId="20" borderId="2" xfId="0" applyFont="1" applyFill="1" applyBorder="1"/>
    <xf numFmtId="0" fontId="5" fillId="20" borderId="2" xfId="0" applyFont="1" applyFill="1" applyBorder="1" applyAlignment="1">
      <alignment wrapText="1"/>
    </xf>
    <xf numFmtId="0" fontId="5" fillId="19" borderId="3" xfId="0" applyFont="1" applyFill="1" applyBorder="1"/>
    <xf numFmtId="0" fontId="5" fillId="19" borderId="4" xfId="0" applyFont="1" applyFill="1" applyBorder="1"/>
    <xf numFmtId="0" fontId="5" fillId="19" borderId="4" xfId="0" applyFont="1" applyFill="1" applyBorder="1" applyAlignment="1">
      <alignment wrapText="1"/>
    </xf>
    <xf numFmtId="0" fontId="5" fillId="30" borderId="1" xfId="0" applyFont="1" applyFill="1" applyBorder="1"/>
    <xf numFmtId="0" fontId="5" fillId="30" borderId="2" xfId="0" applyFont="1" applyFill="1" applyBorder="1"/>
    <xf numFmtId="0" fontId="5" fillId="31" borderId="2" xfId="0" applyFont="1" applyFill="1" applyBorder="1"/>
    <xf numFmtId="0" fontId="3" fillId="32" borderId="0" xfId="0" applyFont="1" applyFill="1"/>
    <xf numFmtId="0" fontId="7" fillId="0" borderId="0" xfId="0" applyFont="1"/>
    <xf numFmtId="0" fontId="8" fillId="0" borderId="0" xfId="0" applyFont="1"/>
    <xf numFmtId="0" fontId="9" fillId="29" borderId="5" xfId="0" applyFont="1" applyFill="1" applyBorder="1"/>
    <xf numFmtId="0" fontId="9" fillId="29" borderId="6" xfId="0" applyFont="1" applyFill="1" applyBorder="1"/>
    <xf numFmtId="0" fontId="9" fillId="29" borderId="6" xfId="0" applyFont="1" applyFill="1" applyBorder="1" applyAlignment="1">
      <alignment horizontal="center"/>
    </xf>
    <xf numFmtId="0" fontId="9" fillId="29" borderId="7" xfId="0" applyFont="1" applyFill="1" applyBorder="1"/>
    <xf numFmtId="0" fontId="10" fillId="33" borderId="1" xfId="0" applyFont="1" applyFill="1" applyBorder="1"/>
    <xf numFmtId="0" fontId="10" fillId="33" borderId="2" xfId="0" applyFont="1" applyFill="1" applyBorder="1"/>
    <xf numFmtId="14" fontId="10" fillId="33" borderId="2" xfId="0" applyNumberFormat="1" applyFont="1" applyFill="1" applyBorder="1" applyAlignment="1">
      <alignment horizontal="center"/>
    </xf>
    <xf numFmtId="0" fontId="10" fillId="33" borderId="2" xfId="0" applyFont="1" applyFill="1" applyBorder="1" applyAlignment="1">
      <alignment horizontal="center"/>
    </xf>
    <xf numFmtId="0" fontId="10" fillId="33" borderId="8" xfId="0" applyFont="1" applyFill="1" applyBorder="1"/>
    <xf numFmtId="0" fontId="10" fillId="24" borderId="1" xfId="0" applyFont="1" applyFill="1" applyBorder="1"/>
    <xf numFmtId="0" fontId="10" fillId="24" borderId="2" xfId="0" applyFont="1" applyFill="1" applyBorder="1"/>
    <xf numFmtId="14" fontId="10" fillId="24" borderId="2" xfId="0" applyNumberFormat="1" applyFont="1" applyFill="1" applyBorder="1" applyAlignment="1">
      <alignment horizontal="center"/>
    </xf>
    <xf numFmtId="0" fontId="10" fillId="24" borderId="2" xfId="0" applyFont="1" applyFill="1" applyBorder="1" applyAlignment="1">
      <alignment horizontal="center"/>
    </xf>
    <xf numFmtId="0" fontId="10" fillId="24" borderId="8" xfId="0" applyFont="1" applyFill="1" applyBorder="1"/>
    <xf numFmtId="0" fontId="10" fillId="34" borderId="1" xfId="0" applyFont="1" applyFill="1" applyBorder="1"/>
    <xf numFmtId="0" fontId="10" fillId="34" borderId="2" xfId="0" applyFont="1" applyFill="1" applyBorder="1"/>
    <xf numFmtId="14" fontId="10" fillId="34" borderId="2" xfId="0" applyNumberFormat="1" applyFont="1" applyFill="1" applyBorder="1" applyAlignment="1">
      <alignment horizontal="center"/>
    </xf>
    <xf numFmtId="0" fontId="10" fillId="34" borderId="2" xfId="0" applyFont="1" applyFill="1" applyBorder="1" applyAlignment="1">
      <alignment horizontal="center"/>
    </xf>
    <xf numFmtId="0" fontId="10" fillId="34" borderId="8" xfId="0" applyFont="1" applyFill="1" applyBorder="1"/>
    <xf numFmtId="0" fontId="10" fillId="28" borderId="1" xfId="0" applyFont="1" applyFill="1" applyBorder="1"/>
    <xf numFmtId="0" fontId="10" fillId="28" borderId="2" xfId="0" applyFont="1" applyFill="1" applyBorder="1"/>
    <xf numFmtId="14" fontId="10" fillId="28" borderId="2" xfId="0" applyNumberFormat="1" applyFont="1" applyFill="1" applyBorder="1" applyAlignment="1">
      <alignment horizontal="center"/>
    </xf>
    <xf numFmtId="0" fontId="10" fillId="28" borderId="2" xfId="0" applyFont="1" applyFill="1" applyBorder="1" applyAlignment="1">
      <alignment horizontal="center"/>
    </xf>
    <xf numFmtId="0" fontId="10" fillId="28" borderId="8" xfId="0" applyFont="1" applyFill="1" applyBorder="1"/>
    <xf numFmtId="0" fontId="10" fillId="23" borderId="1" xfId="0" applyFont="1" applyFill="1" applyBorder="1"/>
    <xf numFmtId="0" fontId="10" fillId="23" borderId="2" xfId="0" applyFont="1" applyFill="1" applyBorder="1"/>
    <xf numFmtId="14" fontId="10" fillId="23" borderId="2" xfId="0" applyNumberFormat="1" applyFont="1" applyFill="1" applyBorder="1" applyAlignment="1">
      <alignment horizontal="center"/>
    </xf>
    <xf numFmtId="0" fontId="10" fillId="23" borderId="2" xfId="0" applyFont="1" applyFill="1" applyBorder="1" applyAlignment="1">
      <alignment horizontal="center"/>
    </xf>
    <xf numFmtId="0" fontId="10" fillId="23" borderId="8" xfId="0" applyFont="1" applyFill="1" applyBorder="1"/>
    <xf numFmtId="0" fontId="10" fillId="37" borderId="1" xfId="0" applyFont="1" applyFill="1" applyBorder="1"/>
    <xf numFmtId="0" fontId="10" fillId="37" borderId="2" xfId="0" applyFont="1" applyFill="1" applyBorder="1"/>
    <xf numFmtId="14" fontId="10" fillId="37" borderId="2" xfId="0" applyNumberFormat="1" applyFont="1" applyFill="1" applyBorder="1" applyAlignment="1">
      <alignment horizontal="center"/>
    </xf>
    <xf numFmtId="0" fontId="10" fillId="37" borderId="2" xfId="0" applyFont="1" applyFill="1" applyBorder="1" applyAlignment="1">
      <alignment horizontal="center"/>
    </xf>
    <xf numFmtId="0" fontId="10" fillId="37" borderId="8" xfId="0" applyFont="1" applyFill="1" applyBorder="1"/>
    <xf numFmtId="0" fontId="10" fillId="36" borderId="1" xfId="0" applyFont="1" applyFill="1" applyBorder="1"/>
    <xf numFmtId="0" fontId="10" fillId="36" borderId="2" xfId="0" applyFont="1" applyFill="1" applyBorder="1"/>
    <xf numFmtId="14" fontId="10" fillId="36" borderId="2" xfId="0" applyNumberFormat="1" applyFont="1" applyFill="1" applyBorder="1" applyAlignment="1">
      <alignment horizontal="center"/>
    </xf>
    <xf numFmtId="0" fontId="10" fillId="36" borderId="2" xfId="0" applyFont="1" applyFill="1" applyBorder="1" applyAlignment="1">
      <alignment horizontal="center"/>
    </xf>
    <xf numFmtId="0" fontId="10" fillId="36" borderId="8" xfId="0" applyFont="1" applyFill="1" applyBorder="1"/>
    <xf numFmtId="0" fontId="10" fillId="38" borderId="1" xfId="0" applyFont="1" applyFill="1" applyBorder="1"/>
    <xf numFmtId="0" fontId="10" fillId="38" borderId="2" xfId="0" applyFont="1" applyFill="1" applyBorder="1"/>
    <xf numFmtId="14" fontId="10" fillId="38" borderId="2" xfId="0" applyNumberFormat="1" applyFont="1" applyFill="1" applyBorder="1" applyAlignment="1">
      <alignment horizontal="center"/>
    </xf>
    <xf numFmtId="0" fontId="10" fillId="38" borderId="2" xfId="0" applyFont="1" applyFill="1" applyBorder="1" applyAlignment="1">
      <alignment horizontal="center"/>
    </xf>
    <xf numFmtId="0" fontId="10" fillId="38" borderId="8" xfId="0" applyFont="1" applyFill="1" applyBorder="1"/>
    <xf numFmtId="0" fontId="10" fillId="38" borderId="8" xfId="0" applyFont="1" applyFill="1" applyBorder="1" applyAlignment="1">
      <alignment wrapText="1"/>
    </xf>
    <xf numFmtId="0" fontId="10" fillId="39" borderId="1" xfId="0" applyFont="1" applyFill="1" applyBorder="1"/>
    <xf numFmtId="0" fontId="10" fillId="39" borderId="2" xfId="0" applyFont="1" applyFill="1" applyBorder="1"/>
    <xf numFmtId="14" fontId="10" fillId="39" borderId="2" xfId="0" applyNumberFormat="1" applyFont="1" applyFill="1" applyBorder="1" applyAlignment="1">
      <alignment horizontal="center"/>
    </xf>
    <xf numFmtId="0" fontId="10" fillId="39" borderId="2" xfId="0" applyFont="1" applyFill="1" applyBorder="1" applyAlignment="1">
      <alignment horizontal="center"/>
    </xf>
    <xf numFmtId="0" fontId="10" fillId="39" borderId="8" xfId="0" applyFont="1" applyFill="1" applyBorder="1"/>
    <xf numFmtId="0" fontId="10" fillId="39" borderId="8" xfId="0" applyFont="1" applyFill="1" applyBorder="1" applyAlignment="1">
      <alignment wrapText="1"/>
    </xf>
    <xf numFmtId="0" fontId="10" fillId="39" borderId="3" xfId="0" applyFont="1" applyFill="1" applyBorder="1"/>
    <xf numFmtId="0" fontId="10" fillId="39" borderId="4" xfId="0" applyFont="1" applyFill="1" applyBorder="1"/>
    <xf numFmtId="14" fontId="10" fillId="39" borderId="4" xfId="0" applyNumberFormat="1" applyFont="1" applyFill="1" applyBorder="1" applyAlignment="1">
      <alignment horizontal="center"/>
    </xf>
    <xf numFmtId="0" fontId="10" fillId="39" borderId="4" xfId="0" applyFont="1" applyFill="1" applyBorder="1" applyAlignment="1">
      <alignment horizontal="center"/>
    </xf>
    <xf numFmtId="0" fontId="10" fillId="39" borderId="9" xfId="0" applyFont="1" applyFill="1" applyBorder="1"/>
    <xf numFmtId="0" fontId="8" fillId="0" borderId="0" xfId="0" applyFont="1" applyAlignment="1">
      <alignment horizontal="center"/>
    </xf>
    <xf numFmtId="0" fontId="3" fillId="25" borderId="0" xfId="0" applyFont="1" applyFill="1"/>
    <xf numFmtId="0" fontId="3" fillId="24" borderId="0" xfId="0" applyFont="1" applyFill="1"/>
    <xf numFmtId="0" fontId="8" fillId="0" borderId="0" xfId="0" applyFont="1" applyAlignment="1">
      <alignment horizontal="left"/>
    </xf>
    <xf numFmtId="0" fontId="8" fillId="35" borderId="0" xfId="0" applyFont="1" applyFill="1"/>
    <xf numFmtId="0" fontId="8" fillId="35" borderId="0" xfId="0" applyFont="1" applyFill="1" applyAlignment="1">
      <alignment horizontal="left"/>
    </xf>
    <xf numFmtId="14" fontId="8" fillId="35" borderId="0" xfId="0" applyNumberFormat="1" applyFont="1" applyFill="1"/>
    <xf numFmtId="14" fontId="8" fillId="35" borderId="0" xfId="0" applyNumberFormat="1" applyFont="1" applyFill="1" applyAlignment="1">
      <alignment horizontal="left"/>
    </xf>
    <xf numFmtId="0" fontId="8" fillId="35" borderId="0" xfId="0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7" fillId="0" borderId="0" xfId="0" applyFont="1"/>
    <xf numFmtId="0" fontId="8" fillId="0" borderId="0" xfId="0" applyFont="1"/>
  </cellXfs>
  <cellStyles count="1">
    <cellStyle name="Standard" xfId="0" builtinId="0"/>
  </cellStyles>
  <dxfs count="52"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numFmt numFmtId="19" formatCode="dd/mm/yyyy"/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  <fill>
        <patternFill patternType="solid">
          <fgColor indexed="64"/>
          <bgColor rgb="FFDAEEF3"/>
        </patternFill>
      </fill>
    </dxf>
    <dxf>
      <font>
        <strike val="0"/>
        <outline val="0"/>
        <shadow val="0"/>
        <u val="none"/>
        <vertAlign val="baseline"/>
        <sz val="14"/>
        <color auto="1"/>
        <name val="Calibri"/>
        <family val="2"/>
        <scheme val="none"/>
      </font>
    </dxf>
  </dxfs>
  <tableStyles count="0" defaultTableStyle="TableStyleMedium2" defaultPivotStyle="PivotStyleLight16"/>
  <colors>
    <mruColors>
      <color rgb="FFDAEEF3"/>
      <color rgb="FFFFFF9F"/>
      <color rgb="FF7AC3D4"/>
      <color rgb="FFE3E4FD"/>
      <color rgb="FFA2ACF8"/>
      <color rgb="FFFFFFCC"/>
      <color rgb="FFF2DCDB"/>
      <color rgb="FFFFFF99"/>
      <color rgb="FFB7DEE8"/>
      <color rgb="FFC5D9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Teilnehmer" displayName="tblTeilnehmer" ref="A6:K136" headerRowDxfId="51" dataDxfId="50" totalsRowDxfId="49">
  <autoFilter ref="A6:K136" xr:uid="{00000000-0009-0000-0100-000001000000}">
    <filterColumn colId="2">
      <filters>
        <filter val="Zurlinden"/>
      </filters>
    </filterColumn>
  </autoFilter>
  <sortState xmlns:xlrd2="http://schemas.microsoft.com/office/spreadsheetml/2017/richdata2" ref="A7:K136">
    <sortCondition ref="A6:A136"/>
  </sortState>
  <tableColumns count="11">
    <tableColumn id="1" xr3:uid="{00000000-0010-0000-0000-000001000000}" name="Anrede" dataDxfId="48"/>
    <tableColumn id="2" xr3:uid="{00000000-0010-0000-0000-000002000000}" name="Vorname" dataDxfId="47"/>
    <tableColumn id="3" xr3:uid="{00000000-0010-0000-0000-000003000000}" name="Name" dataDxfId="46"/>
    <tableColumn id="4" xr3:uid="{00000000-0010-0000-0000-000004000000}" name="StrasseNr" dataDxfId="45"/>
    <tableColumn id="5" xr3:uid="{00000000-0010-0000-0000-000005000000}" name="Plz" dataDxfId="44"/>
    <tableColumn id="13" xr3:uid="{1B2C5ECE-11AA-493E-AD18-B9D6F64B756A}" name="Ort" dataDxfId="43"/>
    <tableColumn id="6" xr3:uid="{00000000-0010-0000-0000-000006000000}" name="EMail" dataDxfId="42"/>
    <tableColumn id="7" xr3:uid="{00000000-0010-0000-0000-000007000000}" name="Geburtsdatum" dataDxfId="41"/>
    <tableColumn id="8" xr3:uid="{00000000-0010-0000-0000-000008000000}" name="AhvNummer" dataDxfId="40"/>
    <tableColumn id="9" xr3:uid="{00000000-0010-0000-0000-000009000000}" name="Mobile" dataDxfId="39"/>
    <tableColumn id="16" xr3:uid="{A609DDDF-206C-4ECE-A7EB-D77F2C054BE4}" name="Kommentar" dataDxfId="3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Kursleitung" displayName="tblKursleitung" ref="A139:J162" headerRowDxfId="37" dataDxfId="36" totalsRowDxfId="35">
  <autoFilter ref="A139:J162" xr:uid="{00000000-0009-0000-0100-000002000000}"/>
  <sortState xmlns:xlrd2="http://schemas.microsoft.com/office/spreadsheetml/2017/richdata2" ref="A140:J162">
    <sortCondition ref="B139:B162"/>
  </sortState>
  <tableColumns count="10">
    <tableColumn id="1" xr3:uid="{00000000-0010-0000-0100-000001000000}" name="Anrede" dataDxfId="34"/>
    <tableColumn id="2" xr3:uid="{00000000-0010-0000-0100-000002000000}" name="Name" dataDxfId="33"/>
    <tableColumn id="3" xr3:uid="{00000000-0010-0000-0100-000003000000}" name="Vorname" dataDxfId="32"/>
    <tableColumn id="4" xr3:uid="{00000000-0010-0000-0100-000004000000}" name="Adresse" dataDxfId="31"/>
    <tableColumn id="5" xr3:uid="{00000000-0010-0000-0100-000005000000}" name="PLZ" dataDxfId="30"/>
    <tableColumn id="6" xr3:uid="{00000000-0010-0000-0100-000006000000}" name="Ort" dataDxfId="29"/>
    <tableColumn id="7" xr3:uid="{00000000-0010-0000-0100-000007000000}" name="E-Mail" dataDxfId="28"/>
    <tableColumn id="8" xr3:uid="{00000000-0010-0000-0100-000008000000}" name="Telefon" dataDxfId="27"/>
    <tableColumn id="9" xr3:uid="{00000000-0010-0000-0100-000009000000}" name="Geburtsdatum" dataDxfId="26"/>
    <tableColumn id="10" xr3:uid="{00000000-0010-0000-0100-00000A000000}" name="Sprache" dataDxf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Zusatzinfos" displayName="tblZusatzinfos" ref="A5:V135" headerRowDxfId="24" dataDxfId="23" totalsRowDxfId="22">
  <autoFilter ref="A5:V135" xr:uid="{00000000-0009-0000-0100-000004000000}"/>
  <sortState xmlns:xlrd2="http://schemas.microsoft.com/office/spreadsheetml/2017/richdata2" ref="A6:V135">
    <sortCondition ref="B5:B135"/>
  </sortState>
  <tableColumns count="22">
    <tableColumn id="1" xr3:uid="{00000000-0010-0000-0300-000001000000}" name="Anrede" dataDxfId="21"/>
    <tableColumn id="2" xr3:uid="{00000000-0010-0000-0300-000002000000}" name="Name" dataDxfId="20"/>
    <tableColumn id="3" xr3:uid="{00000000-0010-0000-0300-000003000000}" name="Vorname" dataDxfId="19"/>
    <tableColumn id="4" xr3:uid="{00000000-0010-0000-0300-000004000000}" name="E-Mail" dataDxfId="18"/>
    <tableColumn id="5" xr3:uid="{00000000-0010-0000-0300-000005000000}" name="Hauptsportart Prio1" dataDxfId="17"/>
    <tableColumn id="6" xr3:uid="{00000000-0010-0000-0300-000006000000}" name="Hauptsportart Prio2" dataDxfId="16"/>
    <tableColumn id="7" xr3:uid="{00000000-0010-0000-0300-000007000000}" name="Schwimmkenntnisse" dataDxfId="15"/>
    <tableColumn id="14" xr3:uid="{00000000-0010-0000-0300-00000E000000}" name="VornameEltern" dataDxfId="14"/>
    <tableColumn id="15" xr3:uid="{00000000-0010-0000-0300-00000F000000}" name="NameEltern" dataDxfId="13"/>
    <tableColumn id="16" xr3:uid="{00000000-0010-0000-0300-000010000000}" name="MobileEltern" dataDxfId="12"/>
    <tableColumn id="17" xr3:uid="{00000000-0010-0000-0300-000011000000}" name="EmailEltern" dataDxfId="11"/>
    <tableColumn id="19" xr3:uid="{00000000-0010-0000-0300-000013000000}" name="Anreise" dataDxfId="10"/>
    <tableColumn id="20" xr3:uid="{00000000-0010-0000-0300-000014000000}" name="Zustiegsbahnhof" dataDxfId="9"/>
    <tableColumn id="21" xr3:uid="{00000000-0010-0000-0300-000015000000}" name="Rueckreise" dataDxfId="8"/>
    <tableColumn id="22" xr3:uid="{00000000-0010-0000-0300-000016000000}" name="Ausstiegsbahnhof" dataDxfId="7"/>
    <tableColumn id="23" xr3:uid="{00000000-0010-0000-0300-000017000000}" name="GA" dataDxfId="6"/>
    <tableColumn id="24" xr3:uid="{00000000-0010-0000-0300-000018000000}" name="Vegi" dataDxfId="5"/>
    <tableColumn id="25" xr3:uid="{00000000-0010-0000-0300-000019000000}" name="Allergien" dataDxfId="4"/>
    <tableColumn id="26" xr3:uid="{00000000-0010-0000-0300-00001A000000}" name="Krankenkasse" dataDxfId="3"/>
    <tableColumn id="27" xr3:uid="{00000000-0010-0000-0300-00001B000000}" name="VersicherungUnfall" dataDxfId="2"/>
    <tableColumn id="28" xr3:uid="{00000000-0010-0000-0300-00001C000000}" name="Medikamente" dataDxfId="1"/>
    <tableColumn id="29" xr3:uid="{00000000-0010-0000-0300-00001D000000}" name="Aufmerksamkei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62"/>
  <sheetViews>
    <sheetView zoomScale="85" zoomScaleNormal="85" workbookViewId="0">
      <pane ySplit="4" topLeftCell="A5" activePane="bottomLeft" state="frozen"/>
      <selection pane="bottomLeft" activeCell="D9" sqref="D9"/>
    </sheetView>
  </sheetViews>
  <sheetFormatPr baseColWidth="10" defaultColWidth="9.1796875" defaultRowHeight="14.5" x14ac:dyDescent="0.35"/>
  <cols>
    <col min="1" max="1" width="17.7265625" bestFit="1" customWidth="1"/>
    <col min="2" max="2" width="20.54296875" bestFit="1" customWidth="1"/>
    <col min="3" max="3" width="18" bestFit="1" customWidth="1"/>
    <col min="4" max="4" width="31.26953125" bestFit="1" customWidth="1"/>
    <col min="5" max="5" width="9.1796875" style="2" bestFit="1" customWidth="1"/>
    <col min="6" max="6" width="29.453125" bestFit="1" customWidth="1"/>
    <col min="7" max="7" width="46.54296875" bestFit="1" customWidth="1"/>
    <col min="8" max="8" width="21.26953125" bestFit="1" customWidth="1"/>
    <col min="9" max="9" width="24.1796875" bestFit="1" customWidth="1"/>
    <col min="10" max="10" width="20.7265625" bestFit="1" customWidth="1"/>
    <col min="11" max="11" width="86.81640625" bestFit="1" customWidth="1"/>
  </cols>
  <sheetData>
    <row r="1" spans="1:11" s="6" customFormat="1" ht="21" x14ac:dyDescent="0.5">
      <c r="A1" s="147" t="s">
        <v>0</v>
      </c>
      <c r="B1" s="148"/>
      <c r="C1" s="148"/>
      <c r="D1" s="148"/>
      <c r="E1" s="148"/>
      <c r="F1" s="148"/>
      <c r="G1" s="6" t="s">
        <v>1</v>
      </c>
      <c r="H1" s="6">
        <v>67</v>
      </c>
      <c r="I1" s="6" t="s">
        <v>2</v>
      </c>
      <c r="J1" s="6">
        <v>12</v>
      </c>
    </row>
    <row r="2" spans="1:11" s="6" customFormat="1" ht="21" x14ac:dyDescent="0.5">
      <c r="A2" s="147" t="s">
        <v>3</v>
      </c>
      <c r="B2" s="148"/>
      <c r="C2" s="148"/>
      <c r="D2" s="148"/>
      <c r="E2" s="148"/>
      <c r="F2" s="148"/>
      <c r="G2" s="6" t="s">
        <v>4</v>
      </c>
      <c r="H2" s="6">
        <v>63</v>
      </c>
      <c r="I2" s="6" t="s">
        <v>5</v>
      </c>
      <c r="J2" s="6">
        <v>11</v>
      </c>
    </row>
    <row r="3" spans="1:11" s="6" customFormat="1" ht="21" x14ac:dyDescent="0.5">
      <c r="A3" s="147" t="s">
        <v>6</v>
      </c>
      <c r="B3" s="148"/>
      <c r="C3" s="148"/>
      <c r="D3" s="148"/>
      <c r="E3" s="148"/>
      <c r="F3" s="148"/>
      <c r="G3" s="6" t="s">
        <v>7</v>
      </c>
      <c r="H3" s="6">
        <v>0</v>
      </c>
      <c r="I3" s="6" t="s">
        <v>8</v>
      </c>
      <c r="J3" s="6">
        <v>0</v>
      </c>
    </row>
    <row r="4" spans="1:11" s="6" customFormat="1" ht="21" x14ac:dyDescent="0.5">
      <c r="E4" s="9"/>
      <c r="G4" s="5" t="s">
        <v>9</v>
      </c>
      <c r="H4" s="5">
        <f>SUM(H1:H2)</f>
        <v>130</v>
      </c>
      <c r="I4" s="5" t="s">
        <v>9</v>
      </c>
      <c r="J4" s="5">
        <v>23</v>
      </c>
    </row>
    <row r="5" spans="1:11" ht="18.5" x14ac:dyDescent="0.45">
      <c r="A5" s="80" t="s">
        <v>1445</v>
      </c>
      <c r="B5" s="81"/>
      <c r="C5" s="81"/>
      <c r="D5" s="81"/>
      <c r="E5" s="141"/>
      <c r="F5" s="81"/>
      <c r="G5" s="81"/>
      <c r="H5" s="81"/>
      <c r="I5" s="81"/>
      <c r="J5" s="81"/>
      <c r="K5" s="81"/>
    </row>
    <row r="6" spans="1:11" ht="18.5" x14ac:dyDescent="0.45">
      <c r="A6" s="81" t="s">
        <v>10</v>
      </c>
      <c r="B6" s="81" t="s">
        <v>11</v>
      </c>
      <c r="C6" s="81" t="s">
        <v>12</v>
      </c>
      <c r="D6" s="81" t="s">
        <v>13</v>
      </c>
      <c r="E6" s="141" t="s">
        <v>1440</v>
      </c>
      <c r="F6" s="81" t="s">
        <v>862</v>
      </c>
      <c r="G6" s="81" t="s">
        <v>14</v>
      </c>
      <c r="H6" s="81" t="s">
        <v>15</v>
      </c>
      <c r="I6" s="81" t="s">
        <v>1441</v>
      </c>
      <c r="J6" s="81" t="s">
        <v>16</v>
      </c>
      <c r="K6" s="81" t="s">
        <v>17</v>
      </c>
    </row>
    <row r="7" spans="1:11" ht="18.5" hidden="1" x14ac:dyDescent="0.45">
      <c r="A7" s="142" t="s">
        <v>18</v>
      </c>
      <c r="B7" s="142" t="s">
        <v>568</v>
      </c>
      <c r="C7" s="142" t="s">
        <v>569</v>
      </c>
      <c r="D7" s="142" t="s">
        <v>570</v>
      </c>
      <c r="E7" s="143">
        <v>5430</v>
      </c>
      <c r="F7" s="142" t="s">
        <v>930</v>
      </c>
      <c r="G7" s="142" t="s">
        <v>571</v>
      </c>
      <c r="H7" s="144" t="s">
        <v>572</v>
      </c>
      <c r="I7" s="142" t="s">
        <v>573</v>
      </c>
      <c r="J7" s="142" t="s">
        <v>574</v>
      </c>
      <c r="K7" s="142"/>
    </row>
    <row r="8" spans="1:11" ht="18.5" hidden="1" x14ac:dyDescent="0.45">
      <c r="A8" s="142" t="s">
        <v>18</v>
      </c>
      <c r="B8" s="142" t="s">
        <v>40</v>
      </c>
      <c r="C8" s="142" t="s">
        <v>41</v>
      </c>
      <c r="D8" s="142" t="s">
        <v>42</v>
      </c>
      <c r="E8" s="143">
        <v>5436</v>
      </c>
      <c r="F8" s="142" t="s">
        <v>1351</v>
      </c>
      <c r="G8" s="142" t="s">
        <v>43</v>
      </c>
      <c r="H8" s="144" t="s">
        <v>44</v>
      </c>
      <c r="I8" s="142" t="s">
        <v>45</v>
      </c>
      <c r="J8" s="142" t="s">
        <v>46</v>
      </c>
      <c r="K8" s="142"/>
    </row>
    <row r="9" spans="1:11" ht="18.5" hidden="1" x14ac:dyDescent="0.45">
      <c r="A9" s="142" t="s">
        <v>18</v>
      </c>
      <c r="B9" s="142" t="s">
        <v>144</v>
      </c>
      <c r="C9" s="142" t="s">
        <v>145</v>
      </c>
      <c r="D9" s="142" t="s">
        <v>146</v>
      </c>
      <c r="E9" s="143">
        <v>5024</v>
      </c>
      <c r="F9" s="142" t="s">
        <v>1360</v>
      </c>
      <c r="G9" s="142" t="s">
        <v>147</v>
      </c>
      <c r="H9" s="144" t="s">
        <v>148</v>
      </c>
      <c r="I9" s="142" t="s">
        <v>149</v>
      </c>
      <c r="J9" s="142" t="s">
        <v>150</v>
      </c>
      <c r="K9" s="142"/>
    </row>
    <row r="10" spans="1:11" ht="18.5" hidden="1" x14ac:dyDescent="0.45">
      <c r="A10" s="142" t="s">
        <v>18</v>
      </c>
      <c r="B10" s="142" t="s">
        <v>238</v>
      </c>
      <c r="C10" s="142" t="s">
        <v>232</v>
      </c>
      <c r="D10" s="142" t="s">
        <v>233</v>
      </c>
      <c r="E10" s="143">
        <v>5102</v>
      </c>
      <c r="F10" s="142" t="s">
        <v>1369</v>
      </c>
      <c r="G10" s="142" t="s">
        <v>234</v>
      </c>
      <c r="H10" s="144" t="s">
        <v>239</v>
      </c>
      <c r="I10" s="142" t="s">
        <v>240</v>
      </c>
      <c r="J10" s="142" t="s">
        <v>241</v>
      </c>
      <c r="K10" s="142"/>
    </row>
    <row r="11" spans="1:11" ht="18.5" hidden="1" x14ac:dyDescent="0.45">
      <c r="A11" s="142" t="s">
        <v>18</v>
      </c>
      <c r="B11" s="142" t="s">
        <v>633</v>
      </c>
      <c r="C11" s="142" t="s">
        <v>634</v>
      </c>
      <c r="D11" s="142" t="s">
        <v>635</v>
      </c>
      <c r="E11" s="143">
        <v>5707</v>
      </c>
      <c r="F11" s="142" t="s">
        <v>1401</v>
      </c>
      <c r="G11" s="142" t="s">
        <v>636</v>
      </c>
      <c r="H11" s="144" t="s">
        <v>637</v>
      </c>
      <c r="I11" s="142" t="s">
        <v>638</v>
      </c>
      <c r="J11" s="142" t="s">
        <v>639</v>
      </c>
      <c r="K11" s="142"/>
    </row>
    <row r="12" spans="1:11" ht="18.5" hidden="1" x14ac:dyDescent="0.45">
      <c r="A12" s="142" t="s">
        <v>18</v>
      </c>
      <c r="B12" s="142" t="s">
        <v>284</v>
      </c>
      <c r="C12" s="142" t="s">
        <v>278</v>
      </c>
      <c r="D12" s="142" t="s">
        <v>285</v>
      </c>
      <c r="E12" s="143">
        <v>2500</v>
      </c>
      <c r="F12" s="142" t="s">
        <v>1416</v>
      </c>
      <c r="G12" s="142" t="s">
        <v>286</v>
      </c>
      <c r="H12" s="144" t="s">
        <v>287</v>
      </c>
      <c r="I12" s="142" t="s">
        <v>288</v>
      </c>
      <c r="J12" s="142" t="s">
        <v>289</v>
      </c>
      <c r="K12" s="142"/>
    </row>
    <row r="13" spans="1:11" ht="18.5" hidden="1" x14ac:dyDescent="0.45">
      <c r="A13" s="142" t="s">
        <v>18</v>
      </c>
      <c r="B13" s="142" t="s">
        <v>445</v>
      </c>
      <c r="C13" s="142" t="s">
        <v>446</v>
      </c>
      <c r="D13" s="142" t="s">
        <v>447</v>
      </c>
      <c r="E13" s="143">
        <v>5417</v>
      </c>
      <c r="F13" s="142" t="s">
        <v>1363</v>
      </c>
      <c r="G13" s="142" t="s">
        <v>448</v>
      </c>
      <c r="H13" s="144" t="s">
        <v>449</v>
      </c>
      <c r="I13" s="142" t="s">
        <v>450</v>
      </c>
      <c r="J13" s="142" t="s">
        <v>451</v>
      </c>
      <c r="K13" s="142"/>
    </row>
    <row r="14" spans="1:11" ht="18.5" hidden="1" x14ac:dyDescent="0.45">
      <c r="A14" s="142" t="s">
        <v>18</v>
      </c>
      <c r="B14" s="142" t="s">
        <v>801</v>
      </c>
      <c r="C14" s="142" t="s">
        <v>795</v>
      </c>
      <c r="D14" s="142" t="s">
        <v>796</v>
      </c>
      <c r="E14" s="143">
        <v>5034</v>
      </c>
      <c r="F14" s="142" t="s">
        <v>1366</v>
      </c>
      <c r="G14" s="142" t="s">
        <v>802</v>
      </c>
      <c r="H14" s="144" t="s">
        <v>803</v>
      </c>
      <c r="I14" s="142" t="s">
        <v>804</v>
      </c>
      <c r="J14" s="142" t="s">
        <v>805</v>
      </c>
      <c r="K14" s="142"/>
    </row>
    <row r="15" spans="1:11" ht="18.5" hidden="1" x14ac:dyDescent="0.45">
      <c r="A15" s="142" t="s">
        <v>18</v>
      </c>
      <c r="B15" s="142" t="s">
        <v>115</v>
      </c>
      <c r="C15" s="142" t="s">
        <v>116</v>
      </c>
      <c r="D15" s="142" t="s">
        <v>117</v>
      </c>
      <c r="E15" s="143">
        <v>5032</v>
      </c>
      <c r="F15" s="142" t="s">
        <v>1417</v>
      </c>
      <c r="G15" s="142" t="s">
        <v>118</v>
      </c>
      <c r="H15" s="144" t="s">
        <v>119</v>
      </c>
      <c r="I15" s="142" t="s">
        <v>120</v>
      </c>
      <c r="J15" s="142" t="s">
        <v>121</v>
      </c>
      <c r="K15" s="142"/>
    </row>
    <row r="16" spans="1:11" ht="18.5" hidden="1" x14ac:dyDescent="0.45">
      <c r="A16" s="142" t="s">
        <v>18</v>
      </c>
      <c r="B16" s="142" t="s">
        <v>188</v>
      </c>
      <c r="C16" s="142" t="s">
        <v>189</v>
      </c>
      <c r="D16" s="142" t="s">
        <v>190</v>
      </c>
      <c r="E16" s="143">
        <v>5034</v>
      </c>
      <c r="F16" s="142" t="s">
        <v>1366</v>
      </c>
      <c r="G16" s="142" t="s">
        <v>191</v>
      </c>
      <c r="H16" s="144" t="s">
        <v>192</v>
      </c>
      <c r="I16" s="142" t="s">
        <v>193</v>
      </c>
      <c r="J16" s="142" t="s">
        <v>194</v>
      </c>
      <c r="K16" s="142"/>
    </row>
    <row r="17" spans="1:11" ht="18.5" hidden="1" x14ac:dyDescent="0.45">
      <c r="A17" s="142" t="s">
        <v>18</v>
      </c>
      <c r="B17" s="142" t="s">
        <v>751</v>
      </c>
      <c r="C17" s="142" t="s">
        <v>752</v>
      </c>
      <c r="D17" s="142" t="s">
        <v>753</v>
      </c>
      <c r="E17" s="143">
        <v>5034</v>
      </c>
      <c r="F17" s="142" t="s">
        <v>1366</v>
      </c>
      <c r="G17" s="142" t="s">
        <v>754</v>
      </c>
      <c r="H17" s="144" t="s">
        <v>755</v>
      </c>
      <c r="I17" s="142" t="s">
        <v>756</v>
      </c>
      <c r="J17" s="142" t="s">
        <v>757</v>
      </c>
      <c r="K17" s="142"/>
    </row>
    <row r="18" spans="1:11" ht="18.5" hidden="1" x14ac:dyDescent="0.45">
      <c r="A18" s="142" t="s">
        <v>18</v>
      </c>
      <c r="B18" s="142" t="s">
        <v>174</v>
      </c>
      <c r="C18" s="142" t="s">
        <v>175</v>
      </c>
      <c r="D18" s="142" t="s">
        <v>176</v>
      </c>
      <c r="E18" s="143">
        <v>8570</v>
      </c>
      <c r="F18" s="142" t="s">
        <v>1364</v>
      </c>
      <c r="G18" s="142" t="s">
        <v>177</v>
      </c>
      <c r="H18" s="144" t="s">
        <v>178</v>
      </c>
      <c r="I18" s="142" t="s">
        <v>179</v>
      </c>
      <c r="J18" s="142" t="s">
        <v>180</v>
      </c>
      <c r="K18" s="142"/>
    </row>
    <row r="19" spans="1:11" ht="18.5" hidden="1" x14ac:dyDescent="0.45">
      <c r="A19" s="142" t="s">
        <v>18</v>
      </c>
      <c r="B19" s="142" t="s">
        <v>849</v>
      </c>
      <c r="C19" s="142" t="s">
        <v>839</v>
      </c>
      <c r="D19" s="142" t="s">
        <v>840</v>
      </c>
      <c r="E19" s="143">
        <v>5023</v>
      </c>
      <c r="F19" s="142" t="s">
        <v>1414</v>
      </c>
      <c r="G19" s="142" t="s">
        <v>841</v>
      </c>
      <c r="H19" s="144" t="s">
        <v>850</v>
      </c>
      <c r="I19" s="142" t="s">
        <v>851</v>
      </c>
      <c r="J19" s="142" t="s">
        <v>852</v>
      </c>
      <c r="K19" s="142"/>
    </row>
    <row r="20" spans="1:11" ht="18.5" hidden="1" x14ac:dyDescent="0.45">
      <c r="A20" s="142" t="s">
        <v>18</v>
      </c>
      <c r="B20" s="142" t="s">
        <v>391</v>
      </c>
      <c r="C20" s="142" t="s">
        <v>392</v>
      </c>
      <c r="D20" s="142" t="s">
        <v>393</v>
      </c>
      <c r="E20" s="143">
        <v>8636</v>
      </c>
      <c r="F20" s="142" t="s">
        <v>1383</v>
      </c>
      <c r="G20" s="142" t="s">
        <v>394</v>
      </c>
      <c r="H20" s="144" t="s">
        <v>395</v>
      </c>
      <c r="I20" s="142" t="s">
        <v>396</v>
      </c>
      <c r="J20" s="142" t="s">
        <v>397</v>
      </c>
      <c r="K20" s="142"/>
    </row>
    <row r="21" spans="1:11" ht="18.5" hidden="1" x14ac:dyDescent="0.45">
      <c r="A21" s="142" t="s">
        <v>18</v>
      </c>
      <c r="B21" s="142" t="s">
        <v>378</v>
      </c>
      <c r="C21" s="142" t="s">
        <v>372</v>
      </c>
      <c r="D21" s="142" t="s">
        <v>379</v>
      </c>
      <c r="E21" s="143">
        <v>8500</v>
      </c>
      <c r="F21" s="142" t="s">
        <v>1381</v>
      </c>
      <c r="G21" s="142" t="s">
        <v>380</v>
      </c>
      <c r="H21" s="144" t="s">
        <v>381</v>
      </c>
      <c r="I21" s="142" t="s">
        <v>382</v>
      </c>
      <c r="J21" s="142" t="s">
        <v>383</v>
      </c>
      <c r="K21" s="142"/>
    </row>
    <row r="22" spans="1:11" ht="18.5" hidden="1" x14ac:dyDescent="0.45">
      <c r="A22" s="142" t="s">
        <v>18</v>
      </c>
      <c r="B22" s="142" t="s">
        <v>60</v>
      </c>
      <c r="C22" s="142" t="s">
        <v>61</v>
      </c>
      <c r="D22" s="142" t="s">
        <v>62</v>
      </c>
      <c r="E22" s="143">
        <v>2532</v>
      </c>
      <c r="F22" s="142" t="s">
        <v>1354</v>
      </c>
      <c r="G22" s="142" t="s">
        <v>63</v>
      </c>
      <c r="H22" s="144" t="s">
        <v>64</v>
      </c>
      <c r="I22" s="142" t="s">
        <v>65</v>
      </c>
      <c r="J22" s="142" t="s">
        <v>66</v>
      </c>
      <c r="K22" s="142"/>
    </row>
    <row r="23" spans="1:11" ht="18.5" hidden="1" x14ac:dyDescent="0.45">
      <c r="A23" s="142" t="s">
        <v>18</v>
      </c>
      <c r="B23" s="142" t="s">
        <v>161</v>
      </c>
      <c r="C23" s="142" t="s">
        <v>162</v>
      </c>
      <c r="D23" s="142" t="s">
        <v>163</v>
      </c>
      <c r="E23" s="143">
        <v>5503</v>
      </c>
      <c r="F23" s="142" t="s">
        <v>1362</v>
      </c>
      <c r="G23" s="142" t="s">
        <v>164</v>
      </c>
      <c r="H23" s="144" t="s">
        <v>165</v>
      </c>
      <c r="I23" s="142" t="s">
        <v>166</v>
      </c>
      <c r="J23" s="142" t="s">
        <v>167</v>
      </c>
      <c r="K23" s="142"/>
    </row>
    <row r="24" spans="1:11" ht="18.5" hidden="1" x14ac:dyDescent="0.45">
      <c r="A24" s="142" t="s">
        <v>18</v>
      </c>
      <c r="B24" s="142" t="s">
        <v>697</v>
      </c>
      <c r="C24" s="142" t="s">
        <v>698</v>
      </c>
      <c r="D24" s="142" t="s">
        <v>699</v>
      </c>
      <c r="E24" s="143">
        <v>5000</v>
      </c>
      <c r="F24" s="142" t="s">
        <v>891</v>
      </c>
      <c r="G24" s="142" t="s">
        <v>700</v>
      </c>
      <c r="H24" s="144" t="s">
        <v>701</v>
      </c>
      <c r="I24" s="142" t="s">
        <v>702</v>
      </c>
      <c r="J24" s="142" t="s">
        <v>703</v>
      </c>
      <c r="K24" s="142" t="s">
        <v>1423</v>
      </c>
    </row>
    <row r="25" spans="1:11" ht="18.5" hidden="1" x14ac:dyDescent="0.45">
      <c r="A25" s="142" t="s">
        <v>18</v>
      </c>
      <c r="B25" s="142" t="s">
        <v>364</v>
      </c>
      <c r="C25" s="142" t="s">
        <v>365</v>
      </c>
      <c r="D25" s="142" t="s">
        <v>366</v>
      </c>
      <c r="E25" s="143">
        <v>5507</v>
      </c>
      <c r="F25" s="142" t="s">
        <v>1379</v>
      </c>
      <c r="G25" s="142" t="s">
        <v>367</v>
      </c>
      <c r="H25" s="144" t="s">
        <v>368</v>
      </c>
      <c r="I25" s="142" t="s">
        <v>369</v>
      </c>
      <c r="J25" s="142" t="s">
        <v>370</v>
      </c>
      <c r="K25" s="142"/>
    </row>
    <row r="26" spans="1:11" ht="18.5" hidden="1" x14ac:dyDescent="0.45">
      <c r="A26" s="142" t="s">
        <v>18</v>
      </c>
      <c r="B26" s="142" t="s">
        <v>378</v>
      </c>
      <c r="C26" s="142" t="s">
        <v>661</v>
      </c>
      <c r="D26" s="142" t="s">
        <v>662</v>
      </c>
      <c r="E26" s="143">
        <v>5079</v>
      </c>
      <c r="F26" s="142" t="s">
        <v>1384</v>
      </c>
      <c r="G26" s="142" t="s">
        <v>663</v>
      </c>
      <c r="H26" s="144" t="s">
        <v>664</v>
      </c>
      <c r="I26" s="142" t="s">
        <v>665</v>
      </c>
      <c r="J26" s="142" t="s">
        <v>666</v>
      </c>
      <c r="K26" s="142"/>
    </row>
    <row r="27" spans="1:11" ht="18.5" hidden="1" x14ac:dyDescent="0.45">
      <c r="A27" s="142" t="s">
        <v>18</v>
      </c>
      <c r="B27" s="142" t="s">
        <v>794</v>
      </c>
      <c r="C27" s="142" t="s">
        <v>795</v>
      </c>
      <c r="D27" s="142" t="s">
        <v>796</v>
      </c>
      <c r="E27" s="143">
        <v>5034</v>
      </c>
      <c r="F27" s="142" t="s">
        <v>1366</v>
      </c>
      <c r="G27" s="142" t="s">
        <v>797</v>
      </c>
      <c r="H27" s="144" t="s">
        <v>798</v>
      </c>
      <c r="I27" s="142" t="s">
        <v>799</v>
      </c>
      <c r="J27" s="142" t="s">
        <v>800</v>
      </c>
      <c r="K27" s="142"/>
    </row>
    <row r="28" spans="1:11" ht="18.5" hidden="1" x14ac:dyDescent="0.45">
      <c r="A28" s="142" t="s">
        <v>18</v>
      </c>
      <c r="B28" s="142" t="s">
        <v>151</v>
      </c>
      <c r="C28" s="142" t="s">
        <v>145</v>
      </c>
      <c r="D28" s="142" t="s">
        <v>146</v>
      </c>
      <c r="E28" s="143">
        <v>5024</v>
      </c>
      <c r="F28" s="142" t="s">
        <v>1360</v>
      </c>
      <c r="G28" s="142" t="s">
        <v>147</v>
      </c>
      <c r="H28" s="144" t="s">
        <v>152</v>
      </c>
      <c r="I28" s="142" t="s">
        <v>153</v>
      </c>
      <c r="J28" s="142" t="s">
        <v>154</v>
      </c>
      <c r="K28" s="142"/>
    </row>
    <row r="29" spans="1:11" ht="18.5" hidden="1" x14ac:dyDescent="0.45">
      <c r="A29" s="142" t="s">
        <v>18</v>
      </c>
      <c r="B29" s="142" t="s">
        <v>402</v>
      </c>
      <c r="C29" s="142" t="s">
        <v>403</v>
      </c>
      <c r="D29" s="142" t="s">
        <v>404</v>
      </c>
      <c r="E29" s="143">
        <v>5079</v>
      </c>
      <c r="F29" s="142" t="s">
        <v>1384</v>
      </c>
      <c r="G29" s="142" t="s">
        <v>405</v>
      </c>
      <c r="H29" s="144" t="s">
        <v>152</v>
      </c>
      <c r="I29" s="142" t="s">
        <v>406</v>
      </c>
      <c r="J29" s="142" t="s">
        <v>407</v>
      </c>
      <c r="K29" s="142"/>
    </row>
    <row r="30" spans="1:11" ht="18.5" hidden="1" x14ac:dyDescent="0.45">
      <c r="A30" s="142" t="s">
        <v>18</v>
      </c>
      <c r="B30" s="142" t="s">
        <v>494</v>
      </c>
      <c r="C30" s="142" t="s">
        <v>495</v>
      </c>
      <c r="D30" s="142" t="s">
        <v>496</v>
      </c>
      <c r="E30" s="143">
        <v>5430</v>
      </c>
      <c r="F30" s="142" t="s">
        <v>930</v>
      </c>
      <c r="G30" s="142" t="s">
        <v>497</v>
      </c>
      <c r="H30" s="144" t="s">
        <v>498</v>
      </c>
      <c r="I30" s="142" t="s">
        <v>499</v>
      </c>
      <c r="J30" s="142" t="s">
        <v>500</v>
      </c>
      <c r="K30" s="142"/>
    </row>
    <row r="31" spans="1:11" ht="18.5" hidden="1" x14ac:dyDescent="0.45">
      <c r="A31" s="142" t="s">
        <v>18</v>
      </c>
      <c r="B31" s="142" t="s">
        <v>831</v>
      </c>
      <c r="C31" s="142" t="s">
        <v>832</v>
      </c>
      <c r="D31" s="142" t="s">
        <v>833</v>
      </c>
      <c r="E31" s="143">
        <v>5023</v>
      </c>
      <c r="F31" s="142" t="s">
        <v>1414</v>
      </c>
      <c r="G31" s="142" t="s">
        <v>834</v>
      </c>
      <c r="H31" s="144" t="s">
        <v>835</v>
      </c>
      <c r="I31" s="142" t="s">
        <v>836</v>
      </c>
      <c r="J31" s="142" t="s">
        <v>837</v>
      </c>
      <c r="K31" s="142"/>
    </row>
    <row r="32" spans="1:11" ht="18.5" hidden="1" x14ac:dyDescent="0.45">
      <c r="A32" s="142" t="s">
        <v>18</v>
      </c>
      <c r="B32" s="142" t="s">
        <v>249</v>
      </c>
      <c r="C32" s="142" t="s">
        <v>250</v>
      </c>
      <c r="D32" s="142" t="s">
        <v>251</v>
      </c>
      <c r="E32" s="143">
        <v>3054</v>
      </c>
      <c r="F32" s="142" t="s">
        <v>1371</v>
      </c>
      <c r="G32" s="142" t="s">
        <v>252</v>
      </c>
      <c r="H32" s="144" t="s">
        <v>253</v>
      </c>
      <c r="I32" s="142" t="s">
        <v>254</v>
      </c>
      <c r="J32" s="142" t="s">
        <v>255</v>
      </c>
      <c r="K32" s="142"/>
    </row>
    <row r="33" spans="1:11" ht="18.5" hidden="1" x14ac:dyDescent="0.45">
      <c r="A33" s="142" t="s">
        <v>18</v>
      </c>
      <c r="B33" s="142" t="s">
        <v>806</v>
      </c>
      <c r="C33" s="142" t="s">
        <v>807</v>
      </c>
      <c r="D33" s="142" t="s">
        <v>808</v>
      </c>
      <c r="E33" s="143">
        <v>5324</v>
      </c>
      <c r="F33" s="142" t="s">
        <v>1412</v>
      </c>
      <c r="G33" s="142" t="s">
        <v>809</v>
      </c>
      <c r="H33" s="144" t="s">
        <v>810</v>
      </c>
      <c r="I33" s="142" t="s">
        <v>811</v>
      </c>
      <c r="J33" s="142" t="s">
        <v>812</v>
      </c>
      <c r="K33" s="142"/>
    </row>
    <row r="34" spans="1:11" ht="18.5" hidden="1" x14ac:dyDescent="0.45">
      <c r="A34" s="142" t="s">
        <v>18</v>
      </c>
      <c r="B34" s="142" t="s">
        <v>371</v>
      </c>
      <c r="C34" s="142" t="s">
        <v>372</v>
      </c>
      <c r="D34" s="142" t="s">
        <v>373</v>
      </c>
      <c r="E34" s="143">
        <v>8185</v>
      </c>
      <c r="F34" s="142" t="s">
        <v>1380</v>
      </c>
      <c r="G34" s="142" t="s">
        <v>374</v>
      </c>
      <c r="H34" s="144" t="s">
        <v>375</v>
      </c>
      <c r="I34" s="142" t="s">
        <v>376</v>
      </c>
      <c r="J34" s="142" t="s">
        <v>377</v>
      </c>
      <c r="K34" s="142"/>
    </row>
    <row r="35" spans="1:11" ht="18.5" hidden="1" x14ac:dyDescent="0.45">
      <c r="A35" s="142" t="s">
        <v>18</v>
      </c>
      <c r="B35" s="142" t="s">
        <v>1472</v>
      </c>
      <c r="C35" s="142" t="s">
        <v>155</v>
      </c>
      <c r="D35" s="142" t="s">
        <v>156</v>
      </c>
      <c r="E35" s="143">
        <v>5420</v>
      </c>
      <c r="F35" s="142" t="s">
        <v>1361</v>
      </c>
      <c r="G35" s="142" t="s">
        <v>157</v>
      </c>
      <c r="H35" s="144" t="s">
        <v>158</v>
      </c>
      <c r="I35" s="142" t="s">
        <v>159</v>
      </c>
      <c r="J35" s="142" t="s">
        <v>160</v>
      </c>
      <c r="K35" s="142"/>
    </row>
    <row r="36" spans="1:11" ht="18.5" hidden="1" x14ac:dyDescent="0.45">
      <c r="A36" s="142" t="s">
        <v>18</v>
      </c>
      <c r="B36" s="142" t="s">
        <v>345</v>
      </c>
      <c r="C36" s="142" t="s">
        <v>346</v>
      </c>
      <c r="D36" s="142" t="s">
        <v>347</v>
      </c>
      <c r="E36" s="143">
        <v>5034</v>
      </c>
      <c r="F36" s="142" t="s">
        <v>1366</v>
      </c>
      <c r="G36" s="142" t="s">
        <v>348</v>
      </c>
      <c r="H36" s="144" t="s">
        <v>349</v>
      </c>
      <c r="I36" s="142" t="s">
        <v>350</v>
      </c>
      <c r="J36" s="142" t="s">
        <v>351</v>
      </c>
      <c r="K36" s="142"/>
    </row>
    <row r="37" spans="1:11" ht="18.5" hidden="1" x14ac:dyDescent="0.45">
      <c r="A37" s="142" t="s">
        <v>18</v>
      </c>
      <c r="B37" s="142" t="s">
        <v>648</v>
      </c>
      <c r="C37" s="142" t="s">
        <v>647</v>
      </c>
      <c r="D37" s="142" t="s">
        <v>649</v>
      </c>
      <c r="E37" s="143">
        <v>5000</v>
      </c>
      <c r="F37" s="142" t="s">
        <v>891</v>
      </c>
      <c r="G37" s="142" t="s">
        <v>650</v>
      </c>
      <c r="H37" s="144" t="s">
        <v>651</v>
      </c>
      <c r="I37" s="142" t="s">
        <v>652</v>
      </c>
      <c r="J37" s="142" t="s">
        <v>653</v>
      </c>
      <c r="K37" s="142"/>
    </row>
    <row r="38" spans="1:11" ht="18.5" hidden="1" x14ac:dyDescent="0.45">
      <c r="A38" s="142" t="s">
        <v>18</v>
      </c>
      <c r="B38" s="142" t="s">
        <v>788</v>
      </c>
      <c r="C38" s="142" t="s">
        <v>1321</v>
      </c>
      <c r="D38" s="142" t="s">
        <v>789</v>
      </c>
      <c r="E38" s="143">
        <v>2533</v>
      </c>
      <c r="F38" s="142" t="s">
        <v>1411</v>
      </c>
      <c r="G38" s="142" t="s">
        <v>790</v>
      </c>
      <c r="H38" s="144" t="s">
        <v>791</v>
      </c>
      <c r="I38" s="142" t="s">
        <v>792</v>
      </c>
      <c r="J38" s="142" t="s">
        <v>793</v>
      </c>
      <c r="K38" s="142"/>
    </row>
    <row r="39" spans="1:11" ht="18.5" hidden="1" x14ac:dyDescent="0.45">
      <c r="A39" s="142" t="s">
        <v>18</v>
      </c>
      <c r="B39" s="142" t="s">
        <v>595</v>
      </c>
      <c r="C39" s="142" t="s">
        <v>596</v>
      </c>
      <c r="D39" s="142" t="s">
        <v>597</v>
      </c>
      <c r="E39" s="143">
        <v>5420</v>
      </c>
      <c r="F39" s="142" t="s">
        <v>1361</v>
      </c>
      <c r="G39" s="142" t="s">
        <v>598</v>
      </c>
      <c r="H39" s="144" t="s">
        <v>599</v>
      </c>
      <c r="I39" s="142" t="s">
        <v>600</v>
      </c>
      <c r="J39" s="142" t="s">
        <v>601</v>
      </c>
      <c r="K39" s="142"/>
    </row>
    <row r="40" spans="1:11" ht="18.5" hidden="1" x14ac:dyDescent="0.45">
      <c r="A40" s="142" t="s">
        <v>18</v>
      </c>
      <c r="B40" s="142" t="s">
        <v>555</v>
      </c>
      <c r="C40" s="142" t="s">
        <v>556</v>
      </c>
      <c r="D40" s="142" t="s">
        <v>557</v>
      </c>
      <c r="E40" s="143">
        <v>5430</v>
      </c>
      <c r="F40" s="142" t="s">
        <v>930</v>
      </c>
      <c r="G40" s="142" t="s">
        <v>558</v>
      </c>
      <c r="H40" s="144" t="s">
        <v>559</v>
      </c>
      <c r="I40" s="142" t="s">
        <v>560</v>
      </c>
      <c r="J40" s="142" t="s">
        <v>561</v>
      </c>
      <c r="K40" s="142"/>
    </row>
    <row r="41" spans="1:11" ht="18.5" hidden="1" x14ac:dyDescent="0.45">
      <c r="A41" s="142" t="s">
        <v>18</v>
      </c>
      <c r="B41" s="142" t="s">
        <v>534</v>
      </c>
      <c r="C41" s="142" t="s">
        <v>535</v>
      </c>
      <c r="D41" s="142" t="s">
        <v>536</v>
      </c>
      <c r="E41" s="143">
        <v>5034</v>
      </c>
      <c r="F41" s="142" t="s">
        <v>1366</v>
      </c>
      <c r="G41" s="142" t="s">
        <v>537</v>
      </c>
      <c r="H41" s="144" t="s">
        <v>538</v>
      </c>
      <c r="I41" s="142" t="s">
        <v>539</v>
      </c>
      <c r="J41" s="142" t="s">
        <v>540</v>
      </c>
      <c r="K41" s="142"/>
    </row>
    <row r="42" spans="1:11" ht="18.5" hidden="1" x14ac:dyDescent="0.45">
      <c r="A42" s="142" t="s">
        <v>18</v>
      </c>
      <c r="B42" s="142" t="s">
        <v>357</v>
      </c>
      <c r="C42" s="142" t="s">
        <v>358</v>
      </c>
      <c r="D42" s="142" t="s">
        <v>359</v>
      </c>
      <c r="E42" s="143">
        <v>5036</v>
      </c>
      <c r="F42" s="142" t="s">
        <v>1352</v>
      </c>
      <c r="G42" s="142" t="s">
        <v>360</v>
      </c>
      <c r="H42" s="144" t="s">
        <v>361</v>
      </c>
      <c r="I42" s="142" t="s">
        <v>362</v>
      </c>
      <c r="J42" s="142" t="s">
        <v>363</v>
      </c>
      <c r="K42" s="142"/>
    </row>
    <row r="43" spans="1:11" ht="18.5" hidden="1" x14ac:dyDescent="0.45">
      <c r="A43" s="142" t="s">
        <v>18</v>
      </c>
      <c r="B43" s="142" t="s">
        <v>482</v>
      </c>
      <c r="C43" s="142" t="s">
        <v>483</v>
      </c>
      <c r="D43" s="142" t="s">
        <v>484</v>
      </c>
      <c r="E43" s="143">
        <v>5103</v>
      </c>
      <c r="F43" s="142" t="s">
        <v>1389</v>
      </c>
      <c r="G43" s="142" t="s">
        <v>485</v>
      </c>
      <c r="H43" s="144" t="s">
        <v>486</v>
      </c>
      <c r="I43" s="142" t="s">
        <v>487</v>
      </c>
      <c r="J43" s="142" t="s">
        <v>488</v>
      </c>
      <c r="K43" s="142"/>
    </row>
    <row r="44" spans="1:11" ht="18.5" hidden="1" x14ac:dyDescent="0.45">
      <c r="A44" s="142" t="s">
        <v>18</v>
      </c>
      <c r="B44" s="142" t="s">
        <v>277</v>
      </c>
      <c r="C44" s="142" t="s">
        <v>278</v>
      </c>
      <c r="D44" s="142" t="s">
        <v>279</v>
      </c>
      <c r="E44" s="143">
        <v>2505</v>
      </c>
      <c r="F44" s="142" t="s">
        <v>1416</v>
      </c>
      <c r="G44" s="142" t="s">
        <v>280</v>
      </c>
      <c r="H44" s="144" t="s">
        <v>281</v>
      </c>
      <c r="I44" s="142" t="s">
        <v>282</v>
      </c>
      <c r="J44" s="142" t="s">
        <v>283</v>
      </c>
      <c r="K44" s="142"/>
    </row>
    <row r="45" spans="1:11" ht="18.5" hidden="1" x14ac:dyDescent="0.45">
      <c r="A45" s="142" t="s">
        <v>18</v>
      </c>
      <c r="B45" s="142" t="s">
        <v>277</v>
      </c>
      <c r="C45" s="142" t="s">
        <v>425</v>
      </c>
      <c r="D45" s="142" t="s">
        <v>426</v>
      </c>
      <c r="E45" s="143">
        <v>4310</v>
      </c>
      <c r="F45" s="142" t="s">
        <v>1385</v>
      </c>
      <c r="G45" s="142" t="s">
        <v>427</v>
      </c>
      <c r="H45" s="144" t="s">
        <v>428</v>
      </c>
      <c r="I45" s="142" t="s">
        <v>429</v>
      </c>
      <c r="J45" s="142" t="s">
        <v>430</v>
      </c>
      <c r="K45" s="142"/>
    </row>
    <row r="46" spans="1:11" ht="18.5" hidden="1" x14ac:dyDescent="0.45">
      <c r="A46" s="142" t="s">
        <v>18</v>
      </c>
      <c r="B46" s="142" t="s">
        <v>623</v>
      </c>
      <c r="C46" s="142" t="s">
        <v>617</v>
      </c>
      <c r="D46" s="142" t="s">
        <v>618</v>
      </c>
      <c r="E46" s="143">
        <v>5614</v>
      </c>
      <c r="F46" s="142" t="s">
        <v>1399</v>
      </c>
      <c r="G46" s="142" t="s">
        <v>619</v>
      </c>
      <c r="H46" s="144" t="s">
        <v>624</v>
      </c>
      <c r="I46" s="142" t="s">
        <v>625</v>
      </c>
      <c r="J46" s="142" t="s">
        <v>622</v>
      </c>
      <c r="K46" s="142"/>
    </row>
    <row r="47" spans="1:11" ht="18.5" hidden="1" x14ac:dyDescent="0.45">
      <c r="A47" s="142" t="s">
        <v>18</v>
      </c>
      <c r="B47" s="142" t="s">
        <v>690</v>
      </c>
      <c r="C47" s="142" t="s">
        <v>691</v>
      </c>
      <c r="D47" s="142" t="s">
        <v>692</v>
      </c>
      <c r="E47" s="143">
        <v>5614</v>
      </c>
      <c r="F47" s="142" t="s">
        <v>1399</v>
      </c>
      <c r="G47" s="142" t="s">
        <v>693</v>
      </c>
      <c r="H47" s="144" t="s">
        <v>694</v>
      </c>
      <c r="I47" s="142" t="s">
        <v>695</v>
      </c>
      <c r="J47" s="142" t="s">
        <v>696</v>
      </c>
      <c r="K47" s="142"/>
    </row>
    <row r="48" spans="1:11" ht="18.5" x14ac:dyDescent="0.45">
      <c r="A48" s="142" t="s">
        <v>18</v>
      </c>
      <c r="B48" s="142" t="s">
        <v>595</v>
      </c>
      <c r="C48" s="142" t="s">
        <v>853</v>
      </c>
      <c r="D48" s="142" t="s">
        <v>854</v>
      </c>
      <c r="E48" s="143">
        <v>5103</v>
      </c>
      <c r="F48" s="142" t="s">
        <v>1378</v>
      </c>
      <c r="G48" s="142" t="s">
        <v>855</v>
      </c>
      <c r="H48" s="144" t="s">
        <v>856</v>
      </c>
      <c r="I48" s="142" t="s">
        <v>857</v>
      </c>
      <c r="J48" s="142" t="s">
        <v>858</v>
      </c>
      <c r="K48" s="142"/>
    </row>
    <row r="49" spans="1:12" ht="18.5" hidden="1" x14ac:dyDescent="0.45">
      <c r="A49" s="142" t="s">
        <v>18</v>
      </c>
      <c r="B49" s="142" t="s">
        <v>489</v>
      </c>
      <c r="C49" s="142" t="s">
        <v>671</v>
      </c>
      <c r="D49" s="142" t="s">
        <v>672</v>
      </c>
      <c r="E49" s="143">
        <v>4324</v>
      </c>
      <c r="F49" s="142" t="s">
        <v>1404</v>
      </c>
      <c r="G49" s="142" t="s">
        <v>673</v>
      </c>
      <c r="H49" s="144" t="s">
        <v>674</v>
      </c>
      <c r="I49" s="142" t="s">
        <v>675</v>
      </c>
      <c r="J49" s="142" t="s">
        <v>676</v>
      </c>
      <c r="K49" s="142"/>
    </row>
    <row r="50" spans="1:12" ht="18.5" hidden="1" x14ac:dyDescent="0.45">
      <c r="A50" s="142" t="s">
        <v>18</v>
      </c>
      <c r="B50" s="142" t="s">
        <v>331</v>
      </c>
      <c r="C50" s="142" t="s">
        <v>332</v>
      </c>
      <c r="D50" s="142" t="s">
        <v>333</v>
      </c>
      <c r="E50" s="143">
        <v>5607</v>
      </c>
      <c r="F50" s="142" t="s">
        <v>1377</v>
      </c>
      <c r="G50" s="142" t="s">
        <v>334</v>
      </c>
      <c r="H50" s="144" t="s">
        <v>335</v>
      </c>
      <c r="I50" s="142" t="s">
        <v>336</v>
      </c>
      <c r="J50" s="142" t="s">
        <v>337</v>
      </c>
      <c r="K50" s="142"/>
    </row>
    <row r="51" spans="1:12" ht="18.5" hidden="1" x14ac:dyDescent="0.45">
      <c r="A51" s="142" t="s">
        <v>18</v>
      </c>
      <c r="B51" s="142" t="s">
        <v>1462</v>
      </c>
      <c r="C51" s="142" t="s">
        <v>48</v>
      </c>
      <c r="D51" s="142" t="s">
        <v>49</v>
      </c>
      <c r="E51" s="143">
        <v>5036</v>
      </c>
      <c r="F51" s="142" t="s">
        <v>1352</v>
      </c>
      <c r="G51" s="142" t="s">
        <v>50</v>
      </c>
      <c r="H51" s="144" t="s">
        <v>51</v>
      </c>
      <c r="I51" s="142" t="s">
        <v>52</v>
      </c>
      <c r="J51" s="142" t="s">
        <v>53</v>
      </c>
      <c r="K51" s="142"/>
    </row>
    <row r="52" spans="1:12" ht="18.5" hidden="1" x14ac:dyDescent="0.45">
      <c r="A52" s="142" t="s">
        <v>18</v>
      </c>
      <c r="B52" s="142" t="s">
        <v>1469</v>
      </c>
      <c r="C52" s="142" t="s">
        <v>76</v>
      </c>
      <c r="D52" s="142" t="s">
        <v>77</v>
      </c>
      <c r="E52" s="143">
        <v>5000</v>
      </c>
      <c r="F52" s="142" t="s">
        <v>891</v>
      </c>
      <c r="G52" s="142" t="s">
        <v>78</v>
      </c>
      <c r="H52" s="144" t="s">
        <v>79</v>
      </c>
      <c r="I52" s="142" t="s">
        <v>80</v>
      </c>
      <c r="J52" s="142" t="s">
        <v>81</v>
      </c>
      <c r="K52" s="142" t="s">
        <v>1419</v>
      </c>
    </row>
    <row r="53" spans="1:12" ht="18.5" hidden="1" x14ac:dyDescent="0.45">
      <c r="A53" s="142" t="s">
        <v>18</v>
      </c>
      <c r="B53" s="142" t="s">
        <v>667</v>
      </c>
      <c r="C53" s="142" t="s">
        <v>661</v>
      </c>
      <c r="D53" s="142" t="s">
        <v>662</v>
      </c>
      <c r="E53" s="143">
        <v>5079</v>
      </c>
      <c r="F53" s="142" t="s">
        <v>1384</v>
      </c>
      <c r="G53" s="142" t="s">
        <v>668</v>
      </c>
      <c r="H53" s="144" t="s">
        <v>79</v>
      </c>
      <c r="I53" s="142" t="s">
        <v>669</v>
      </c>
      <c r="J53" s="142" t="s">
        <v>670</v>
      </c>
      <c r="K53" s="142"/>
    </row>
    <row r="54" spans="1:12" ht="18.5" hidden="1" x14ac:dyDescent="0.45">
      <c r="A54" s="142" t="s">
        <v>18</v>
      </c>
      <c r="B54" s="142" t="s">
        <v>33</v>
      </c>
      <c r="C54" s="142" t="s">
        <v>34</v>
      </c>
      <c r="D54" s="142" t="s">
        <v>35</v>
      </c>
      <c r="E54" s="143">
        <v>5600</v>
      </c>
      <c r="F54" s="142" t="s">
        <v>1350</v>
      </c>
      <c r="G54" s="142" t="s">
        <v>36</v>
      </c>
      <c r="H54" s="144" t="s">
        <v>37</v>
      </c>
      <c r="I54" s="142" t="s">
        <v>38</v>
      </c>
      <c r="J54" s="142" t="s">
        <v>39</v>
      </c>
      <c r="K54" s="142"/>
    </row>
    <row r="55" spans="1:12" ht="18.5" hidden="1" x14ac:dyDescent="0.45">
      <c r="A55" s="142" t="s">
        <v>18</v>
      </c>
      <c r="B55" s="142" t="s">
        <v>737</v>
      </c>
      <c r="C55" s="142" t="s">
        <v>738</v>
      </c>
      <c r="D55" s="142" t="s">
        <v>739</v>
      </c>
      <c r="E55" s="143">
        <v>6932</v>
      </c>
      <c r="F55" s="142" t="s">
        <v>1408</v>
      </c>
      <c r="G55" s="142" t="s">
        <v>740</v>
      </c>
      <c r="H55" s="144" t="s">
        <v>741</v>
      </c>
      <c r="I55" s="142" t="s">
        <v>742</v>
      </c>
      <c r="J55" s="142" t="s">
        <v>743</v>
      </c>
      <c r="K55" s="142"/>
    </row>
    <row r="56" spans="1:12" ht="18.5" hidden="1" x14ac:dyDescent="0.45">
      <c r="A56" s="142" t="s">
        <v>18</v>
      </c>
      <c r="B56" s="142" t="s">
        <v>770</v>
      </c>
      <c r="C56" s="142" t="s">
        <v>764</v>
      </c>
      <c r="D56" s="142" t="s">
        <v>771</v>
      </c>
      <c r="E56" s="143">
        <v>4800</v>
      </c>
      <c r="F56" s="142" t="s">
        <v>1407</v>
      </c>
      <c r="G56" s="142" t="s">
        <v>766</v>
      </c>
      <c r="H56" s="144" t="s">
        <v>772</v>
      </c>
      <c r="I56" s="142" t="s">
        <v>773</v>
      </c>
      <c r="J56" s="142" t="s">
        <v>768</v>
      </c>
      <c r="K56" s="142" t="s">
        <v>774</v>
      </c>
    </row>
    <row r="57" spans="1:12" ht="18.5" hidden="1" x14ac:dyDescent="0.45">
      <c r="A57" s="142" t="s">
        <v>18</v>
      </c>
      <c r="B57" s="142" t="s">
        <v>324</v>
      </c>
      <c r="C57" s="142" t="s">
        <v>325</v>
      </c>
      <c r="D57" s="142" t="s">
        <v>326</v>
      </c>
      <c r="E57" s="143">
        <v>8908</v>
      </c>
      <c r="F57" s="142" t="s">
        <v>1376</v>
      </c>
      <c r="G57" s="142" t="s">
        <v>327</v>
      </c>
      <c r="H57" s="144" t="s">
        <v>328</v>
      </c>
      <c r="I57" s="142" t="s">
        <v>329</v>
      </c>
      <c r="J57" s="142" t="s">
        <v>330</v>
      </c>
      <c r="K57" s="142"/>
    </row>
    <row r="58" spans="1:12" ht="18.5" hidden="1" x14ac:dyDescent="0.45">
      <c r="A58" s="142" t="s">
        <v>18</v>
      </c>
      <c r="B58" s="142" t="s">
        <v>775</v>
      </c>
      <c r="C58" s="142" t="s">
        <v>776</v>
      </c>
      <c r="D58" s="142" t="s">
        <v>777</v>
      </c>
      <c r="E58" s="143">
        <v>5035</v>
      </c>
      <c r="F58" s="142" t="s">
        <v>1375</v>
      </c>
      <c r="G58" s="142" t="s">
        <v>778</v>
      </c>
      <c r="H58" s="144" t="s">
        <v>779</v>
      </c>
      <c r="I58" s="142" t="s">
        <v>780</v>
      </c>
      <c r="J58" s="142" t="s">
        <v>781</v>
      </c>
      <c r="K58" s="142"/>
    </row>
    <row r="59" spans="1:12" ht="18.5" hidden="1" x14ac:dyDescent="0.45">
      <c r="A59" s="142" t="s">
        <v>18</v>
      </c>
      <c r="B59" s="142" t="s">
        <v>1468</v>
      </c>
      <c r="C59" s="142" t="s">
        <v>1461</v>
      </c>
      <c r="D59" s="142" t="s">
        <v>20</v>
      </c>
      <c r="E59" s="143">
        <v>5525</v>
      </c>
      <c r="F59" s="142" t="s">
        <v>1349</v>
      </c>
      <c r="G59" s="142" t="s">
        <v>21</v>
      </c>
      <c r="H59" s="144" t="s">
        <v>22</v>
      </c>
      <c r="I59" s="142" t="s">
        <v>23</v>
      </c>
      <c r="J59" s="142" t="s">
        <v>24</v>
      </c>
      <c r="K59" s="142"/>
    </row>
    <row r="60" spans="1:12" ht="18.5" hidden="1" x14ac:dyDescent="0.45">
      <c r="A60" s="142" t="s">
        <v>18</v>
      </c>
      <c r="B60" s="142" t="s">
        <v>181</v>
      </c>
      <c r="C60" s="142" t="s">
        <v>182</v>
      </c>
      <c r="D60" s="142" t="s">
        <v>183</v>
      </c>
      <c r="E60" s="143">
        <v>5634</v>
      </c>
      <c r="F60" s="142" t="s">
        <v>1365</v>
      </c>
      <c r="G60" s="142" t="s">
        <v>184</v>
      </c>
      <c r="H60" s="144" t="s">
        <v>185</v>
      </c>
      <c r="I60" s="142" t="s">
        <v>186</v>
      </c>
      <c r="J60" s="142" t="s">
        <v>187</v>
      </c>
      <c r="K60" s="142"/>
    </row>
    <row r="61" spans="1:12" ht="18.5" hidden="1" x14ac:dyDescent="0.45">
      <c r="A61" s="142" t="s">
        <v>18</v>
      </c>
      <c r="B61" s="142" t="s">
        <v>502</v>
      </c>
      <c r="C61" s="142" t="s">
        <v>501</v>
      </c>
      <c r="D61" s="142" t="s">
        <v>503</v>
      </c>
      <c r="E61" s="143">
        <v>5035</v>
      </c>
      <c r="F61" s="142" t="s">
        <v>1375</v>
      </c>
      <c r="G61" s="142" t="s">
        <v>504</v>
      </c>
      <c r="H61" s="144" t="s">
        <v>505</v>
      </c>
      <c r="I61" s="142" t="s">
        <v>506</v>
      </c>
      <c r="J61" s="142" t="s">
        <v>507</v>
      </c>
      <c r="K61" s="142"/>
    </row>
    <row r="62" spans="1:12" ht="18.5" hidden="1" x14ac:dyDescent="0.45">
      <c r="A62" s="142" t="s">
        <v>18</v>
      </c>
      <c r="B62" s="142" t="s">
        <v>438</v>
      </c>
      <c r="C62" s="142" t="s">
        <v>439</v>
      </c>
      <c r="D62" s="142" t="s">
        <v>440</v>
      </c>
      <c r="E62" s="143">
        <v>5036</v>
      </c>
      <c r="F62" s="142" t="s">
        <v>1352</v>
      </c>
      <c r="G62" s="142" t="s">
        <v>441</v>
      </c>
      <c r="H62" s="144" t="s">
        <v>442</v>
      </c>
      <c r="I62" s="142" t="s">
        <v>443</v>
      </c>
      <c r="J62" s="142" t="s">
        <v>444</v>
      </c>
      <c r="K62" s="142"/>
    </row>
    <row r="63" spans="1:12" ht="18.5" hidden="1" x14ac:dyDescent="0.45">
      <c r="A63" s="142" t="s">
        <v>18</v>
      </c>
      <c r="B63" s="142" t="s">
        <v>744</v>
      </c>
      <c r="C63" s="142" t="s">
        <v>745</v>
      </c>
      <c r="D63" s="142" t="s">
        <v>746</v>
      </c>
      <c r="E63" s="143">
        <v>5026</v>
      </c>
      <c r="F63" s="142" t="s">
        <v>1409</v>
      </c>
      <c r="G63" s="142" t="s">
        <v>747</v>
      </c>
      <c r="H63" s="144" t="s">
        <v>748</v>
      </c>
      <c r="I63" s="142" t="s">
        <v>749</v>
      </c>
      <c r="J63" s="142" t="s">
        <v>750</v>
      </c>
      <c r="K63" s="142"/>
    </row>
    <row r="64" spans="1:12" ht="18.5" hidden="1" x14ac:dyDescent="0.45">
      <c r="A64" s="142" t="s">
        <v>18</v>
      </c>
      <c r="B64" s="142" t="s">
        <v>508</v>
      </c>
      <c r="C64" s="142" t="s">
        <v>509</v>
      </c>
      <c r="D64" s="142" t="s">
        <v>510</v>
      </c>
      <c r="E64" s="143">
        <v>5035</v>
      </c>
      <c r="F64" s="142" t="s">
        <v>1375</v>
      </c>
      <c r="G64" s="142" t="s">
        <v>511</v>
      </c>
      <c r="H64" s="144" t="s">
        <v>512</v>
      </c>
      <c r="I64" s="142" t="s">
        <v>513</v>
      </c>
      <c r="J64" s="142" t="s">
        <v>514</v>
      </c>
      <c r="K64" s="142"/>
      <c r="L64" s="1"/>
    </row>
    <row r="65" spans="1:11" ht="18.5" hidden="1" x14ac:dyDescent="0.45">
      <c r="A65" s="142" t="s">
        <v>18</v>
      </c>
      <c r="B65" s="142" t="s">
        <v>338</v>
      </c>
      <c r="C65" s="142" t="s">
        <v>339</v>
      </c>
      <c r="D65" s="142" t="s">
        <v>340</v>
      </c>
      <c r="E65" s="143">
        <v>5103</v>
      </c>
      <c r="F65" s="142" t="s">
        <v>1378</v>
      </c>
      <c r="G65" s="142" t="s">
        <v>341</v>
      </c>
      <c r="H65" s="144" t="s">
        <v>342</v>
      </c>
      <c r="I65" s="142" t="s">
        <v>343</v>
      </c>
      <c r="J65" s="142" t="s">
        <v>344</v>
      </c>
      <c r="K65" s="142"/>
    </row>
    <row r="66" spans="1:11" ht="18.5" hidden="1" x14ac:dyDescent="0.45">
      <c r="A66" s="142" t="s">
        <v>18</v>
      </c>
      <c r="B66" s="142" t="s">
        <v>431</v>
      </c>
      <c r="C66" s="142" t="s">
        <v>432</v>
      </c>
      <c r="D66" s="142" t="s">
        <v>433</v>
      </c>
      <c r="E66" s="143">
        <v>4334</v>
      </c>
      <c r="F66" s="142" t="s">
        <v>1386</v>
      </c>
      <c r="G66" s="142" t="s">
        <v>434</v>
      </c>
      <c r="H66" s="144" t="s">
        <v>435</v>
      </c>
      <c r="I66" s="142" t="s">
        <v>436</v>
      </c>
      <c r="J66" s="142" t="s">
        <v>437</v>
      </c>
      <c r="K66" s="142"/>
    </row>
    <row r="67" spans="1:11" ht="18.5" hidden="1" x14ac:dyDescent="0.45">
      <c r="A67" s="142" t="s">
        <v>18</v>
      </c>
      <c r="B67" s="142" t="s">
        <v>489</v>
      </c>
      <c r="C67" s="142" t="s">
        <v>483</v>
      </c>
      <c r="D67" s="142" t="s">
        <v>484</v>
      </c>
      <c r="E67" s="143">
        <v>5103</v>
      </c>
      <c r="F67" s="142" t="s">
        <v>1389</v>
      </c>
      <c r="G67" s="142" t="s">
        <v>490</v>
      </c>
      <c r="H67" s="144" t="s">
        <v>491</v>
      </c>
      <c r="I67" s="142" t="s">
        <v>492</v>
      </c>
      <c r="J67" s="142" t="s">
        <v>493</v>
      </c>
      <c r="K67" s="142"/>
    </row>
    <row r="68" spans="1:11" ht="18.5" hidden="1" x14ac:dyDescent="0.45">
      <c r="A68" s="142" t="s">
        <v>18</v>
      </c>
      <c r="B68" s="142" t="s">
        <v>297</v>
      </c>
      <c r="C68" s="142" t="s">
        <v>298</v>
      </c>
      <c r="D68" s="142" t="s">
        <v>299</v>
      </c>
      <c r="E68" s="143">
        <v>5035</v>
      </c>
      <c r="F68" s="142" t="s">
        <v>1375</v>
      </c>
      <c r="G68" s="142" t="s">
        <v>300</v>
      </c>
      <c r="H68" s="144" t="s">
        <v>301</v>
      </c>
      <c r="I68" s="142" t="s">
        <v>1474</v>
      </c>
      <c r="J68" s="142" t="s">
        <v>302</v>
      </c>
      <c r="K68" s="142"/>
    </row>
    <row r="69" spans="1:11" ht="18.5" hidden="1" x14ac:dyDescent="0.45">
      <c r="A69" s="142" t="s">
        <v>18</v>
      </c>
      <c r="B69" s="142" t="s">
        <v>242</v>
      </c>
      <c r="C69" s="142" t="s">
        <v>243</v>
      </c>
      <c r="D69" s="142" t="s">
        <v>244</v>
      </c>
      <c r="E69" s="143">
        <v>8918</v>
      </c>
      <c r="F69" s="142" t="s">
        <v>1370</v>
      </c>
      <c r="G69" s="142" t="s">
        <v>245</v>
      </c>
      <c r="H69" s="144" t="s">
        <v>246</v>
      </c>
      <c r="I69" s="142" t="s">
        <v>247</v>
      </c>
      <c r="J69" s="142" t="s">
        <v>248</v>
      </c>
      <c r="K69" s="142"/>
    </row>
    <row r="70" spans="1:11" ht="18.5" hidden="1" x14ac:dyDescent="0.45">
      <c r="A70" s="142" t="s">
        <v>25</v>
      </c>
      <c r="B70" s="142" t="s">
        <v>582</v>
      </c>
      <c r="C70" s="142" t="s">
        <v>583</v>
      </c>
      <c r="D70" s="142" t="s">
        <v>584</v>
      </c>
      <c r="E70" s="143">
        <v>9062</v>
      </c>
      <c r="F70" s="142" t="s">
        <v>1395</v>
      </c>
      <c r="G70" s="142" t="s">
        <v>585</v>
      </c>
      <c r="H70" s="144" t="s">
        <v>586</v>
      </c>
      <c r="I70" s="142" t="s">
        <v>587</v>
      </c>
      <c r="J70" s="142" t="s">
        <v>588</v>
      </c>
      <c r="K70" s="142"/>
    </row>
    <row r="71" spans="1:11" ht="18.5" hidden="1" x14ac:dyDescent="0.45">
      <c r="A71" s="142" t="s">
        <v>25</v>
      </c>
      <c r="B71" s="142" t="s">
        <v>224</v>
      </c>
      <c r="C71" s="142" t="s">
        <v>225</v>
      </c>
      <c r="D71" s="142" t="s">
        <v>226</v>
      </c>
      <c r="E71" s="143">
        <v>8200</v>
      </c>
      <c r="F71" s="142" t="s">
        <v>1368</v>
      </c>
      <c r="G71" s="142" t="s">
        <v>227</v>
      </c>
      <c r="H71" s="144" t="s">
        <v>228</v>
      </c>
      <c r="I71" s="142" t="s">
        <v>229</v>
      </c>
      <c r="J71" s="142" t="s">
        <v>230</v>
      </c>
      <c r="K71" s="142"/>
    </row>
    <row r="72" spans="1:11" ht="18.5" hidden="1" x14ac:dyDescent="0.45">
      <c r="A72" s="142" t="s">
        <v>25</v>
      </c>
      <c r="B72" s="142" t="s">
        <v>522</v>
      </c>
      <c r="C72" s="142" t="s">
        <v>516</v>
      </c>
      <c r="D72" s="142" t="s">
        <v>517</v>
      </c>
      <c r="E72" s="143">
        <v>5405</v>
      </c>
      <c r="F72" s="142" t="s">
        <v>1390</v>
      </c>
      <c r="G72" s="142" t="s">
        <v>523</v>
      </c>
      <c r="H72" s="144" t="s">
        <v>524</v>
      </c>
      <c r="I72" s="142" t="s">
        <v>525</v>
      </c>
      <c r="J72" s="142" t="s">
        <v>526</v>
      </c>
      <c r="K72" s="142"/>
    </row>
    <row r="73" spans="1:11" ht="18.5" hidden="1" x14ac:dyDescent="0.45">
      <c r="A73" s="142" t="s">
        <v>25</v>
      </c>
      <c r="B73" s="142" t="s">
        <v>717</v>
      </c>
      <c r="C73" s="142" t="s">
        <v>718</v>
      </c>
      <c r="D73" s="142" t="s">
        <v>584</v>
      </c>
      <c r="E73" s="143">
        <v>9062</v>
      </c>
      <c r="F73" s="142" t="s">
        <v>1395</v>
      </c>
      <c r="G73" s="142" t="s">
        <v>719</v>
      </c>
      <c r="H73" s="144" t="s">
        <v>720</v>
      </c>
      <c r="I73" s="142" t="s">
        <v>721</v>
      </c>
      <c r="J73" s="142" t="s">
        <v>722</v>
      </c>
      <c r="K73" s="142"/>
    </row>
    <row r="74" spans="1:11" ht="18.5" hidden="1" x14ac:dyDescent="0.45">
      <c r="A74" s="142" t="s">
        <v>25</v>
      </c>
      <c r="B74" s="142" t="s">
        <v>640</v>
      </c>
      <c r="C74" s="142" t="s">
        <v>641</v>
      </c>
      <c r="D74" s="142" t="s">
        <v>642</v>
      </c>
      <c r="E74" s="143">
        <v>5630</v>
      </c>
      <c r="F74" s="142" t="s">
        <v>1402</v>
      </c>
      <c r="G74" s="142" t="s">
        <v>643</v>
      </c>
      <c r="H74" s="144" t="s">
        <v>644</v>
      </c>
      <c r="I74" s="142" t="s">
        <v>645</v>
      </c>
      <c r="J74" s="142" t="s">
        <v>646</v>
      </c>
      <c r="K74" s="142"/>
    </row>
    <row r="75" spans="1:11" ht="18.5" hidden="1" x14ac:dyDescent="0.45">
      <c r="A75" s="142" t="s">
        <v>25</v>
      </c>
      <c r="B75" s="142" t="s">
        <v>26</v>
      </c>
      <c r="C75" s="142" t="s">
        <v>27</v>
      </c>
      <c r="D75" s="142" t="s">
        <v>28</v>
      </c>
      <c r="E75" s="143">
        <v>8212</v>
      </c>
      <c r="F75" s="142" t="s">
        <v>1415</v>
      </c>
      <c r="G75" s="142" t="s">
        <v>29</v>
      </c>
      <c r="H75" s="144" t="s">
        <v>30</v>
      </c>
      <c r="I75" s="142" t="s">
        <v>31</v>
      </c>
      <c r="J75" s="142" t="s">
        <v>32</v>
      </c>
      <c r="K75" s="142"/>
    </row>
    <row r="76" spans="1:11" ht="18.5" hidden="1" x14ac:dyDescent="0.45">
      <c r="A76" s="142" t="s">
        <v>25</v>
      </c>
      <c r="B76" s="142" t="s">
        <v>54</v>
      </c>
      <c r="C76" s="142" t="s">
        <v>55</v>
      </c>
      <c r="D76" s="142" t="s">
        <v>56</v>
      </c>
      <c r="E76" s="143">
        <v>8214</v>
      </c>
      <c r="F76" s="142" t="s">
        <v>1353</v>
      </c>
      <c r="G76" s="142" t="s">
        <v>57</v>
      </c>
      <c r="H76" s="144" t="s">
        <v>30</v>
      </c>
      <c r="I76" s="142" t="s">
        <v>58</v>
      </c>
      <c r="J76" s="142" t="s">
        <v>59</v>
      </c>
      <c r="K76" s="142"/>
    </row>
    <row r="77" spans="1:11" ht="18.5" hidden="1" x14ac:dyDescent="0.45">
      <c r="A77" s="142" t="s">
        <v>25</v>
      </c>
      <c r="B77" s="142" t="s">
        <v>562</v>
      </c>
      <c r="C77" s="142" t="s">
        <v>563</v>
      </c>
      <c r="D77" s="142" t="s">
        <v>564</v>
      </c>
      <c r="E77" s="143">
        <v>8217</v>
      </c>
      <c r="F77" s="142" t="s">
        <v>1394</v>
      </c>
      <c r="G77" s="142" t="s">
        <v>565</v>
      </c>
      <c r="H77" s="144" t="s">
        <v>30</v>
      </c>
      <c r="I77" s="142" t="s">
        <v>566</v>
      </c>
      <c r="J77" s="142" t="s">
        <v>567</v>
      </c>
      <c r="K77" s="142"/>
    </row>
    <row r="78" spans="1:11" ht="18.5" hidden="1" x14ac:dyDescent="0.45">
      <c r="A78" s="142" t="s">
        <v>25</v>
      </c>
      <c r="B78" s="142" t="s">
        <v>589</v>
      </c>
      <c r="C78" s="142" t="s">
        <v>590</v>
      </c>
      <c r="D78" s="142" t="s">
        <v>591</v>
      </c>
      <c r="E78" s="143">
        <v>8240</v>
      </c>
      <c r="F78" s="142" t="s">
        <v>1396</v>
      </c>
      <c r="G78" s="142" t="s">
        <v>592</v>
      </c>
      <c r="H78" s="144" t="s">
        <v>30</v>
      </c>
      <c r="I78" s="142" t="s">
        <v>593</v>
      </c>
      <c r="J78" s="142" t="s">
        <v>594</v>
      </c>
      <c r="K78" s="142"/>
    </row>
    <row r="79" spans="1:11" ht="18.5" hidden="1" x14ac:dyDescent="0.45">
      <c r="A79" s="142" t="s">
        <v>25</v>
      </c>
      <c r="B79" s="142" t="s">
        <v>684</v>
      </c>
      <c r="C79" s="142" t="s">
        <v>685</v>
      </c>
      <c r="D79" s="142" t="s">
        <v>591</v>
      </c>
      <c r="E79" s="143">
        <v>8240</v>
      </c>
      <c r="F79" s="142" t="s">
        <v>1396</v>
      </c>
      <c r="G79" s="142" t="s">
        <v>686</v>
      </c>
      <c r="H79" s="144" t="s">
        <v>687</v>
      </c>
      <c r="I79" s="142" t="s">
        <v>688</v>
      </c>
      <c r="J79" s="142" t="s">
        <v>689</v>
      </c>
      <c r="K79" s="142"/>
    </row>
    <row r="80" spans="1:11" ht="18.5" hidden="1" x14ac:dyDescent="0.45">
      <c r="A80" s="142" t="s">
        <v>25</v>
      </c>
      <c r="B80" s="142" t="s">
        <v>459</v>
      </c>
      <c r="C80" s="142" t="s">
        <v>460</v>
      </c>
      <c r="D80" s="142" t="s">
        <v>461</v>
      </c>
      <c r="E80" s="143">
        <v>8200</v>
      </c>
      <c r="F80" s="142" t="s">
        <v>1368</v>
      </c>
      <c r="G80" s="142" t="s">
        <v>462</v>
      </c>
      <c r="H80" s="144" t="s">
        <v>463</v>
      </c>
      <c r="I80" s="142" t="s">
        <v>464</v>
      </c>
      <c r="J80" s="142" t="s">
        <v>465</v>
      </c>
      <c r="K80" s="142"/>
    </row>
    <row r="81" spans="1:12" ht="18.5" hidden="1" x14ac:dyDescent="0.45">
      <c r="A81" s="142" t="s">
        <v>25</v>
      </c>
      <c r="B81" s="142" t="s">
        <v>317</v>
      </c>
      <c r="C81" s="142" t="s">
        <v>318</v>
      </c>
      <c r="D81" s="142" t="s">
        <v>319</v>
      </c>
      <c r="E81" s="143">
        <v>8212</v>
      </c>
      <c r="F81" s="142" t="s">
        <v>1415</v>
      </c>
      <c r="G81" s="142" t="s">
        <v>320</v>
      </c>
      <c r="H81" s="144" t="s">
        <v>321</v>
      </c>
      <c r="I81" s="142" t="s">
        <v>322</v>
      </c>
      <c r="J81" s="142" t="s">
        <v>323</v>
      </c>
      <c r="K81" s="142"/>
    </row>
    <row r="82" spans="1:12" ht="18.5" hidden="1" x14ac:dyDescent="0.45">
      <c r="A82" s="142" t="s">
        <v>25</v>
      </c>
      <c r="B82" s="142" t="s">
        <v>137</v>
      </c>
      <c r="C82" s="142" t="s">
        <v>138</v>
      </c>
      <c r="D82" s="142" t="s">
        <v>139</v>
      </c>
      <c r="E82" s="143">
        <v>5000</v>
      </c>
      <c r="F82" s="142" t="s">
        <v>891</v>
      </c>
      <c r="G82" s="142" t="s">
        <v>140</v>
      </c>
      <c r="H82" s="144" t="s">
        <v>141</v>
      </c>
      <c r="I82" s="142" t="s">
        <v>142</v>
      </c>
      <c r="J82" s="142" t="s">
        <v>143</v>
      </c>
      <c r="K82" s="142"/>
    </row>
    <row r="83" spans="1:12" ht="18.5" hidden="1" x14ac:dyDescent="0.45">
      <c r="A83" s="142" t="s">
        <v>25</v>
      </c>
      <c r="B83" s="142" t="s">
        <v>1470</v>
      </c>
      <c r="C83" s="142" t="s">
        <v>131</v>
      </c>
      <c r="D83" s="142" t="s">
        <v>132</v>
      </c>
      <c r="E83" s="143">
        <v>5724</v>
      </c>
      <c r="F83" s="142" t="s">
        <v>1359</v>
      </c>
      <c r="G83" s="142" t="s">
        <v>133</v>
      </c>
      <c r="H83" s="144" t="s">
        <v>134</v>
      </c>
      <c r="I83" s="142" t="s">
        <v>135</v>
      </c>
      <c r="J83" s="142" t="s">
        <v>136</v>
      </c>
      <c r="K83" s="142"/>
    </row>
    <row r="84" spans="1:12" ht="18.5" hidden="1" x14ac:dyDescent="0.45">
      <c r="A84" s="142" t="s">
        <v>25</v>
      </c>
      <c r="B84" s="142" t="s">
        <v>1463</v>
      </c>
      <c r="C84" s="142" t="s">
        <v>68</v>
      </c>
      <c r="D84" s="142" t="s">
        <v>69</v>
      </c>
      <c r="E84" s="143">
        <v>5033</v>
      </c>
      <c r="F84" s="142" t="s">
        <v>1355</v>
      </c>
      <c r="G84" s="142" t="s">
        <v>70</v>
      </c>
      <c r="H84" s="144" t="s">
        <v>71</v>
      </c>
      <c r="I84" s="142" t="s">
        <v>72</v>
      </c>
      <c r="J84" s="142" t="s">
        <v>73</v>
      </c>
      <c r="K84" s="142"/>
    </row>
    <row r="85" spans="1:12" ht="18.5" hidden="1" x14ac:dyDescent="0.45">
      <c r="A85" s="142" t="s">
        <v>25</v>
      </c>
      <c r="B85" s="142" t="s">
        <v>310</v>
      </c>
      <c r="C85" s="142" t="s">
        <v>311</v>
      </c>
      <c r="D85" s="142" t="s">
        <v>312</v>
      </c>
      <c r="E85" s="143">
        <v>5102</v>
      </c>
      <c r="F85" s="142" t="s">
        <v>1369</v>
      </c>
      <c r="G85" s="142" t="s">
        <v>313</v>
      </c>
      <c r="H85" s="144" t="s">
        <v>314</v>
      </c>
      <c r="I85" s="142" t="s">
        <v>315</v>
      </c>
      <c r="J85" s="142" t="s">
        <v>316</v>
      </c>
      <c r="K85" s="142"/>
    </row>
    <row r="86" spans="1:12" ht="18.5" hidden="1" x14ac:dyDescent="0.45">
      <c r="A86" s="142" t="s">
        <v>25</v>
      </c>
      <c r="B86" s="142" t="s">
        <v>195</v>
      </c>
      <c r="C86" s="142" t="s">
        <v>196</v>
      </c>
      <c r="D86" s="142" t="s">
        <v>197</v>
      </c>
      <c r="E86" s="143">
        <v>5200</v>
      </c>
      <c r="F86" s="142" t="s">
        <v>1095</v>
      </c>
      <c r="G86" s="142" t="s">
        <v>198</v>
      </c>
      <c r="H86" s="144" t="s">
        <v>199</v>
      </c>
      <c r="I86" s="142" t="s">
        <v>200</v>
      </c>
      <c r="J86" s="142" t="s">
        <v>201</v>
      </c>
      <c r="K86" s="142"/>
    </row>
    <row r="87" spans="1:12" ht="18.5" hidden="1" x14ac:dyDescent="0.45">
      <c r="A87" s="142" t="s">
        <v>25</v>
      </c>
      <c r="B87" s="142" t="s">
        <v>826</v>
      </c>
      <c r="C87" s="142" t="s">
        <v>827</v>
      </c>
      <c r="D87" s="142" t="s">
        <v>604</v>
      </c>
      <c r="E87" s="143">
        <v>5432</v>
      </c>
      <c r="F87" s="142" t="s">
        <v>1397</v>
      </c>
      <c r="G87" s="142" t="s">
        <v>828</v>
      </c>
      <c r="H87" s="145">
        <v>39723</v>
      </c>
      <c r="I87" s="142" t="s">
        <v>1480</v>
      </c>
      <c r="J87" s="142" t="s">
        <v>830</v>
      </c>
      <c r="K87" s="142"/>
    </row>
    <row r="88" spans="1:12" ht="18.5" hidden="1" x14ac:dyDescent="0.45">
      <c r="A88" s="142" t="s">
        <v>25</v>
      </c>
      <c r="B88" s="142" t="s">
        <v>730</v>
      </c>
      <c r="C88" s="142" t="s">
        <v>731</v>
      </c>
      <c r="D88" s="142" t="s">
        <v>732</v>
      </c>
      <c r="E88" s="143">
        <v>5436</v>
      </c>
      <c r="F88" s="142" t="s">
        <v>1351</v>
      </c>
      <c r="G88" s="142" t="s">
        <v>733</v>
      </c>
      <c r="H88" s="144" t="s">
        <v>734</v>
      </c>
      <c r="I88" s="142" t="s">
        <v>735</v>
      </c>
      <c r="J88" s="142" t="s">
        <v>736</v>
      </c>
      <c r="K88" s="142"/>
    </row>
    <row r="89" spans="1:12" ht="18.5" hidden="1" x14ac:dyDescent="0.45">
      <c r="A89" s="142" t="s">
        <v>25</v>
      </c>
      <c r="B89" s="142" t="s">
        <v>515</v>
      </c>
      <c r="C89" s="142" t="s">
        <v>516</v>
      </c>
      <c r="D89" s="142" t="s">
        <v>517</v>
      </c>
      <c r="E89" s="143">
        <v>5405</v>
      </c>
      <c r="F89" s="142" t="s">
        <v>995</v>
      </c>
      <c r="G89" s="142" t="s">
        <v>518</v>
      </c>
      <c r="H89" s="144" t="s">
        <v>519</v>
      </c>
      <c r="I89" s="142" t="s">
        <v>520</v>
      </c>
      <c r="J89" s="142" t="s">
        <v>521</v>
      </c>
      <c r="K89" s="142" t="s">
        <v>1426</v>
      </c>
    </row>
    <row r="90" spans="1:12" ht="18.5" hidden="1" x14ac:dyDescent="0.45">
      <c r="A90" s="142" t="s">
        <v>25</v>
      </c>
      <c r="B90" s="142" t="s">
        <v>408</v>
      </c>
      <c r="C90" s="142" t="s">
        <v>1182</v>
      </c>
      <c r="D90" s="142" t="s">
        <v>409</v>
      </c>
      <c r="E90" s="143">
        <v>5004</v>
      </c>
      <c r="F90" s="142" t="s">
        <v>891</v>
      </c>
      <c r="G90" s="142" t="s">
        <v>410</v>
      </c>
      <c r="H90" s="144" t="s">
        <v>411</v>
      </c>
      <c r="I90" s="142" t="s">
        <v>412</v>
      </c>
      <c r="J90" s="142" t="s">
        <v>413</v>
      </c>
      <c r="K90" s="142"/>
    </row>
    <row r="91" spans="1:12" ht="18.5" hidden="1" x14ac:dyDescent="0.45">
      <c r="A91" s="142" t="s">
        <v>25</v>
      </c>
      <c r="B91" s="142" t="s">
        <v>82</v>
      </c>
      <c r="C91" s="142" t="s">
        <v>76</v>
      </c>
      <c r="D91" s="142" t="s">
        <v>77</v>
      </c>
      <c r="E91" s="143">
        <v>5000</v>
      </c>
      <c r="F91" s="142" t="s">
        <v>891</v>
      </c>
      <c r="G91" s="142" t="s">
        <v>83</v>
      </c>
      <c r="H91" s="144" t="s">
        <v>84</v>
      </c>
      <c r="I91" s="142" t="s">
        <v>85</v>
      </c>
      <c r="J91" s="142" t="s">
        <v>86</v>
      </c>
      <c r="K91" s="142"/>
    </row>
    <row r="92" spans="1:12" ht="18.5" hidden="1" x14ac:dyDescent="0.45">
      <c r="A92" s="142" t="s">
        <v>25</v>
      </c>
      <c r="B92" s="142" t="s">
        <v>541</v>
      </c>
      <c r="C92" s="142" t="s">
        <v>542</v>
      </c>
      <c r="D92" s="142" t="s">
        <v>543</v>
      </c>
      <c r="E92" s="143">
        <v>5502</v>
      </c>
      <c r="F92" s="142" t="s">
        <v>1392</v>
      </c>
      <c r="G92" s="142" t="s">
        <v>544</v>
      </c>
      <c r="H92" s="144" t="s">
        <v>545</v>
      </c>
      <c r="I92" s="142" t="s">
        <v>546</v>
      </c>
      <c r="J92" s="142" t="s">
        <v>547</v>
      </c>
      <c r="K92" s="142"/>
      <c r="L92" s="1"/>
    </row>
    <row r="93" spans="1:12" ht="18.5" hidden="1" x14ac:dyDescent="0.45">
      <c r="A93" s="142" t="s">
        <v>25</v>
      </c>
      <c r="B93" s="142" t="s">
        <v>475</v>
      </c>
      <c r="C93" s="142" t="s">
        <v>476</v>
      </c>
      <c r="D93" s="142" t="s">
        <v>477</v>
      </c>
      <c r="E93" s="143">
        <v>5000</v>
      </c>
      <c r="F93" s="142" t="s">
        <v>891</v>
      </c>
      <c r="G93" s="142" t="s">
        <v>478</v>
      </c>
      <c r="H93" s="144" t="s">
        <v>479</v>
      </c>
      <c r="I93" s="142" t="s">
        <v>480</v>
      </c>
      <c r="J93" s="142" t="s">
        <v>481</v>
      </c>
      <c r="K93" s="142" t="s">
        <v>1538</v>
      </c>
    </row>
    <row r="94" spans="1:12" ht="18.5" hidden="1" x14ac:dyDescent="0.45">
      <c r="A94" s="142" t="s">
        <v>25</v>
      </c>
      <c r="B94" s="142" t="s">
        <v>782</v>
      </c>
      <c r="C94" s="142" t="s">
        <v>776</v>
      </c>
      <c r="D94" s="142" t="s">
        <v>783</v>
      </c>
      <c r="E94" s="143">
        <v>5015</v>
      </c>
      <c r="F94" s="142" t="s">
        <v>1356</v>
      </c>
      <c r="G94" s="142" t="s">
        <v>784</v>
      </c>
      <c r="H94" s="144" t="s">
        <v>785</v>
      </c>
      <c r="I94" s="142" t="s">
        <v>786</v>
      </c>
      <c r="J94" s="142" t="s">
        <v>787</v>
      </c>
      <c r="K94" s="142" t="s">
        <v>1427</v>
      </c>
    </row>
    <row r="95" spans="1:12" ht="18.5" hidden="1" x14ac:dyDescent="0.45">
      <c r="A95" s="142" t="s">
        <v>25</v>
      </c>
      <c r="B95" s="142" t="s">
        <v>202</v>
      </c>
      <c r="C95" s="142" t="s">
        <v>203</v>
      </c>
      <c r="D95" s="142" t="s">
        <v>204</v>
      </c>
      <c r="E95" s="143">
        <v>5000</v>
      </c>
      <c r="F95" s="142" t="s">
        <v>891</v>
      </c>
      <c r="G95" s="142" t="s">
        <v>205</v>
      </c>
      <c r="H95" s="144" t="s">
        <v>206</v>
      </c>
      <c r="I95" s="142" t="s">
        <v>207</v>
      </c>
      <c r="J95" s="142" t="s">
        <v>208</v>
      </c>
      <c r="K95" s="142" t="s">
        <v>209</v>
      </c>
    </row>
    <row r="96" spans="1:12" ht="18.5" hidden="1" x14ac:dyDescent="0.45">
      <c r="A96" s="142" t="s">
        <v>25</v>
      </c>
      <c r="B96" s="142" t="s">
        <v>94</v>
      </c>
      <c r="C96" s="142" t="s">
        <v>95</v>
      </c>
      <c r="D96" s="142" t="s">
        <v>96</v>
      </c>
      <c r="E96" s="143">
        <v>5322</v>
      </c>
      <c r="F96" s="142" t="s">
        <v>1357</v>
      </c>
      <c r="G96" s="142" t="s">
        <v>97</v>
      </c>
      <c r="H96" s="144" t="s">
        <v>98</v>
      </c>
      <c r="I96" s="142" t="s">
        <v>99</v>
      </c>
      <c r="J96" s="142" t="s">
        <v>100</v>
      </c>
      <c r="K96" s="142"/>
    </row>
    <row r="97" spans="1:12" ht="18.5" hidden="1" x14ac:dyDescent="0.45">
      <c r="A97" s="142" t="s">
        <v>25</v>
      </c>
      <c r="B97" s="142" t="s">
        <v>122</v>
      </c>
      <c r="C97" s="142" t="s">
        <v>116</v>
      </c>
      <c r="D97" s="142" t="s">
        <v>123</v>
      </c>
      <c r="E97" s="143">
        <v>5436</v>
      </c>
      <c r="F97" s="142" t="s">
        <v>1351</v>
      </c>
      <c r="G97" s="142" t="s">
        <v>124</v>
      </c>
      <c r="H97" s="144" t="s">
        <v>125</v>
      </c>
      <c r="I97" s="142" t="s">
        <v>126</v>
      </c>
      <c r="J97" s="142" t="s">
        <v>127</v>
      </c>
      <c r="K97" s="142"/>
    </row>
    <row r="98" spans="1:12" ht="18.5" hidden="1" x14ac:dyDescent="0.45">
      <c r="A98" s="142" t="s">
        <v>25</v>
      </c>
      <c r="B98" s="142" t="s">
        <v>677</v>
      </c>
      <c r="C98" s="142" t="s">
        <v>678</v>
      </c>
      <c r="D98" s="142" t="s">
        <v>679</v>
      </c>
      <c r="E98" s="143">
        <v>8932</v>
      </c>
      <c r="F98" s="142" t="s">
        <v>1405</v>
      </c>
      <c r="G98" s="142" t="s">
        <v>680</v>
      </c>
      <c r="H98" s="144" t="s">
        <v>681</v>
      </c>
      <c r="I98" s="142" t="s">
        <v>682</v>
      </c>
      <c r="J98" s="142" t="s">
        <v>683</v>
      </c>
      <c r="K98" s="142"/>
    </row>
    <row r="99" spans="1:12" ht="18.5" hidden="1" x14ac:dyDescent="0.45">
      <c r="A99" s="142" t="s">
        <v>25</v>
      </c>
      <c r="B99" s="142" t="s">
        <v>654</v>
      </c>
      <c r="C99" s="142" t="s">
        <v>655</v>
      </c>
      <c r="D99" s="142" t="s">
        <v>656</v>
      </c>
      <c r="E99" s="143">
        <v>5223</v>
      </c>
      <c r="F99" s="142" t="s">
        <v>1403</v>
      </c>
      <c r="G99" s="142" t="s">
        <v>657</v>
      </c>
      <c r="H99" s="144" t="s">
        <v>658</v>
      </c>
      <c r="I99" s="142" t="s">
        <v>659</v>
      </c>
      <c r="J99" s="142" t="s">
        <v>660</v>
      </c>
      <c r="K99" s="142"/>
    </row>
    <row r="100" spans="1:12" ht="18.5" hidden="1" x14ac:dyDescent="0.45">
      <c r="A100" s="142" t="s">
        <v>25</v>
      </c>
      <c r="B100" s="142" t="s">
        <v>384</v>
      </c>
      <c r="C100" s="142" t="s">
        <v>385</v>
      </c>
      <c r="D100" s="142" t="s">
        <v>386</v>
      </c>
      <c r="E100" s="143">
        <v>5444</v>
      </c>
      <c r="F100" s="142" t="s">
        <v>1382</v>
      </c>
      <c r="G100" s="142" t="s">
        <v>387</v>
      </c>
      <c r="H100" s="144" t="s">
        <v>388</v>
      </c>
      <c r="I100" s="142" t="s">
        <v>389</v>
      </c>
      <c r="J100" s="142" t="s">
        <v>390</v>
      </c>
      <c r="K100" s="142"/>
    </row>
    <row r="101" spans="1:12" ht="18.5" hidden="1" x14ac:dyDescent="0.45">
      <c r="A101" s="142" t="s">
        <v>25</v>
      </c>
      <c r="B101" s="142" t="s">
        <v>87</v>
      </c>
      <c r="C101" s="142" t="s">
        <v>88</v>
      </c>
      <c r="D101" s="142" t="s">
        <v>89</v>
      </c>
      <c r="E101" s="143">
        <v>5015</v>
      </c>
      <c r="F101" s="142" t="s">
        <v>1356</v>
      </c>
      <c r="G101" s="142" t="s">
        <v>90</v>
      </c>
      <c r="H101" s="144" t="s">
        <v>91</v>
      </c>
      <c r="I101" s="142" t="s">
        <v>92</v>
      </c>
      <c r="J101" s="142" t="s">
        <v>93</v>
      </c>
      <c r="K101" s="142"/>
      <c r="L101" s="1"/>
    </row>
    <row r="102" spans="1:12" ht="18.5" hidden="1" x14ac:dyDescent="0.45">
      <c r="A102" s="142" t="s">
        <v>25</v>
      </c>
      <c r="B102" s="142" t="s">
        <v>819</v>
      </c>
      <c r="C102" s="142" t="s">
        <v>820</v>
      </c>
      <c r="D102" s="142" t="s">
        <v>821</v>
      </c>
      <c r="E102" s="143">
        <v>5454</v>
      </c>
      <c r="F102" s="142" t="s">
        <v>1413</v>
      </c>
      <c r="G102" s="142" t="s">
        <v>822</v>
      </c>
      <c r="H102" s="144" t="s">
        <v>823</v>
      </c>
      <c r="I102" s="142" t="s">
        <v>824</v>
      </c>
      <c r="J102" s="142" t="s">
        <v>825</v>
      </c>
      <c r="K102" s="142"/>
    </row>
    <row r="103" spans="1:12" ht="18.5" hidden="1" x14ac:dyDescent="0.45">
      <c r="A103" s="142" t="s">
        <v>25</v>
      </c>
      <c r="B103" s="142" t="s">
        <v>616</v>
      </c>
      <c r="C103" s="142" t="s">
        <v>617</v>
      </c>
      <c r="D103" s="142" t="s">
        <v>618</v>
      </c>
      <c r="E103" s="143">
        <v>5614</v>
      </c>
      <c r="F103" s="142" t="s">
        <v>1399</v>
      </c>
      <c r="G103" s="142" t="s">
        <v>619</v>
      </c>
      <c r="H103" s="144" t="s">
        <v>620</v>
      </c>
      <c r="I103" s="142" t="s">
        <v>621</v>
      </c>
      <c r="J103" s="142" t="s">
        <v>622</v>
      </c>
      <c r="K103" s="142"/>
    </row>
    <row r="104" spans="1:12" ht="18.5" hidden="1" x14ac:dyDescent="0.45">
      <c r="A104" s="142" t="s">
        <v>25</v>
      </c>
      <c r="B104" s="142" t="s">
        <v>704</v>
      </c>
      <c r="C104" s="142" t="s">
        <v>705</v>
      </c>
      <c r="D104" s="142" t="s">
        <v>706</v>
      </c>
      <c r="E104" s="143">
        <v>5636</v>
      </c>
      <c r="F104" s="142" t="s">
        <v>1406</v>
      </c>
      <c r="G104" s="142" t="s">
        <v>707</v>
      </c>
      <c r="H104" s="144" t="s">
        <v>708</v>
      </c>
      <c r="I104" s="142" t="s">
        <v>709</v>
      </c>
      <c r="J104" s="142" t="s">
        <v>710</v>
      </c>
      <c r="K104" s="142"/>
    </row>
    <row r="105" spans="1:12" ht="18.5" hidden="1" x14ac:dyDescent="0.45">
      <c r="A105" s="142" t="s">
        <v>25</v>
      </c>
      <c r="B105" s="142" t="s">
        <v>195</v>
      </c>
      <c r="C105" s="142" t="s">
        <v>764</v>
      </c>
      <c r="D105" s="142" t="s">
        <v>765</v>
      </c>
      <c r="E105" s="143">
        <v>4800</v>
      </c>
      <c r="F105" s="142" t="s">
        <v>1407</v>
      </c>
      <c r="G105" s="142" t="s">
        <v>766</v>
      </c>
      <c r="H105" s="144" t="s">
        <v>701</v>
      </c>
      <c r="I105" s="142" t="s">
        <v>767</v>
      </c>
      <c r="J105" s="142" t="s">
        <v>768</v>
      </c>
      <c r="K105" s="142" t="s">
        <v>769</v>
      </c>
    </row>
    <row r="106" spans="1:12" ht="18.5" hidden="1" x14ac:dyDescent="0.45">
      <c r="A106" s="142" t="s">
        <v>25</v>
      </c>
      <c r="B106" s="142" t="s">
        <v>231</v>
      </c>
      <c r="C106" s="142" t="s">
        <v>232</v>
      </c>
      <c r="D106" s="142" t="s">
        <v>233</v>
      </c>
      <c r="E106" s="143">
        <v>5102</v>
      </c>
      <c r="F106" s="142" t="s">
        <v>1369</v>
      </c>
      <c r="G106" s="142" t="s">
        <v>234</v>
      </c>
      <c r="H106" s="144" t="s">
        <v>235</v>
      </c>
      <c r="I106" s="142" t="s">
        <v>236</v>
      </c>
      <c r="J106" s="142" t="s">
        <v>237</v>
      </c>
      <c r="K106" s="142"/>
    </row>
    <row r="107" spans="1:12" ht="18.5" hidden="1" x14ac:dyDescent="0.45">
      <c r="A107" s="142" t="s">
        <v>25</v>
      </c>
      <c r="B107" s="142" t="s">
        <v>210</v>
      </c>
      <c r="C107" s="142" t="s">
        <v>211</v>
      </c>
      <c r="D107" s="142" t="s">
        <v>212</v>
      </c>
      <c r="E107" s="143">
        <v>5417</v>
      </c>
      <c r="F107" s="142" t="s">
        <v>1363</v>
      </c>
      <c r="G107" s="142" t="s">
        <v>213</v>
      </c>
      <c r="H107" s="144" t="s">
        <v>214</v>
      </c>
      <c r="I107" s="142" t="s">
        <v>215</v>
      </c>
      <c r="J107" s="142" t="s">
        <v>216</v>
      </c>
      <c r="K107" s="142"/>
    </row>
    <row r="108" spans="1:12" ht="18.5" hidden="1" x14ac:dyDescent="0.45">
      <c r="A108" s="142" t="s">
        <v>25</v>
      </c>
      <c r="B108" s="142" t="s">
        <v>263</v>
      </c>
      <c r="C108" s="142" t="s">
        <v>264</v>
      </c>
      <c r="D108" s="142" t="s">
        <v>265</v>
      </c>
      <c r="E108" s="143">
        <v>5000</v>
      </c>
      <c r="F108" s="142" t="s">
        <v>891</v>
      </c>
      <c r="G108" s="142" t="s">
        <v>266</v>
      </c>
      <c r="H108" s="144" t="s">
        <v>267</v>
      </c>
      <c r="I108" s="142" t="s">
        <v>268</v>
      </c>
      <c r="J108" s="142" t="s">
        <v>269</v>
      </c>
      <c r="K108" s="142"/>
    </row>
    <row r="109" spans="1:12" ht="18.5" hidden="1" x14ac:dyDescent="0.45">
      <c r="A109" s="142" t="s">
        <v>25</v>
      </c>
      <c r="B109" s="142" t="s">
        <v>122</v>
      </c>
      <c r="C109" s="142" t="s">
        <v>1473</v>
      </c>
      <c r="D109" s="142" t="s">
        <v>169</v>
      </c>
      <c r="E109" s="143">
        <v>5417</v>
      </c>
      <c r="F109" s="142" t="s">
        <v>1363</v>
      </c>
      <c r="G109" s="142" t="s">
        <v>170</v>
      </c>
      <c r="H109" s="144" t="s">
        <v>171</v>
      </c>
      <c r="I109" s="142" t="s">
        <v>172</v>
      </c>
      <c r="J109" s="142" t="s">
        <v>173</v>
      </c>
      <c r="K109" s="146"/>
    </row>
    <row r="110" spans="1:12" ht="18.5" hidden="1" x14ac:dyDescent="0.45">
      <c r="A110" s="142" t="s">
        <v>25</v>
      </c>
      <c r="B110" s="142" t="s">
        <v>414</v>
      </c>
      <c r="C110" s="142" t="s">
        <v>415</v>
      </c>
      <c r="D110" s="142" t="s">
        <v>416</v>
      </c>
      <c r="E110" s="143">
        <v>5102</v>
      </c>
      <c r="F110" s="142" t="s">
        <v>1369</v>
      </c>
      <c r="G110" s="142" t="s">
        <v>417</v>
      </c>
      <c r="H110" s="144" t="s">
        <v>418</v>
      </c>
      <c r="I110" s="142" t="s">
        <v>419</v>
      </c>
      <c r="J110" s="142" t="s">
        <v>420</v>
      </c>
      <c r="K110" s="142"/>
    </row>
    <row r="111" spans="1:12" ht="18.5" hidden="1" x14ac:dyDescent="0.45">
      <c r="A111" s="142" t="s">
        <v>25</v>
      </c>
      <c r="B111" s="142" t="s">
        <v>845</v>
      </c>
      <c r="C111" s="142" t="s">
        <v>839</v>
      </c>
      <c r="D111" s="142" t="s">
        <v>840</v>
      </c>
      <c r="E111" s="143">
        <v>5023</v>
      </c>
      <c r="F111" s="142" t="s">
        <v>1414</v>
      </c>
      <c r="G111" s="142" t="s">
        <v>841</v>
      </c>
      <c r="H111" s="144" t="s">
        <v>846</v>
      </c>
      <c r="I111" s="142" t="s">
        <v>847</v>
      </c>
      <c r="J111" s="142" t="s">
        <v>848</v>
      </c>
      <c r="K111" s="142"/>
    </row>
    <row r="112" spans="1:12" ht="18.5" hidden="1" x14ac:dyDescent="0.45">
      <c r="A112" s="142" t="s">
        <v>25</v>
      </c>
      <c r="B112" s="142" t="s">
        <v>452</v>
      </c>
      <c r="C112" s="142" t="s">
        <v>453</v>
      </c>
      <c r="D112" s="142" t="s">
        <v>454</v>
      </c>
      <c r="E112" s="143">
        <v>5727</v>
      </c>
      <c r="F112" s="142" t="s">
        <v>1387</v>
      </c>
      <c r="G112" s="142" t="s">
        <v>455</v>
      </c>
      <c r="H112" s="144" t="s">
        <v>456</v>
      </c>
      <c r="I112" s="142" t="s">
        <v>457</v>
      </c>
      <c r="J112" s="142" t="s">
        <v>458</v>
      </c>
      <c r="K112" s="142"/>
    </row>
    <row r="113" spans="1:11" ht="37" hidden="1" x14ac:dyDescent="0.45">
      <c r="A113" s="142" t="s">
        <v>25</v>
      </c>
      <c r="B113" s="142" t="s">
        <v>602</v>
      </c>
      <c r="C113" s="142" t="s">
        <v>603</v>
      </c>
      <c r="D113" s="142" t="s">
        <v>604</v>
      </c>
      <c r="E113" s="143">
        <v>5432</v>
      </c>
      <c r="F113" s="142" t="s">
        <v>1397</v>
      </c>
      <c r="G113" s="142" t="s">
        <v>605</v>
      </c>
      <c r="H113" s="144" t="s">
        <v>606</v>
      </c>
      <c r="I113" s="142" t="s">
        <v>607</v>
      </c>
      <c r="J113" s="142" t="s">
        <v>608</v>
      </c>
      <c r="K113" s="146" t="s">
        <v>1442</v>
      </c>
    </row>
    <row r="114" spans="1:11" ht="18.5" hidden="1" x14ac:dyDescent="0.45">
      <c r="A114" s="142" t="s">
        <v>25</v>
      </c>
      <c r="B114" s="142" t="s">
        <v>256</v>
      </c>
      <c r="C114" s="142" t="s">
        <v>257</v>
      </c>
      <c r="D114" s="142" t="s">
        <v>258</v>
      </c>
      <c r="E114" s="143">
        <v>4812</v>
      </c>
      <c r="F114" s="142" t="s">
        <v>1372</v>
      </c>
      <c r="G114" s="142" t="s">
        <v>259</v>
      </c>
      <c r="H114" s="144" t="s">
        <v>260</v>
      </c>
      <c r="I114" s="142" t="s">
        <v>261</v>
      </c>
      <c r="J114" s="142" t="s">
        <v>262</v>
      </c>
      <c r="K114" s="142"/>
    </row>
    <row r="115" spans="1:11" ht="18.5" hidden="1" x14ac:dyDescent="0.45">
      <c r="A115" s="142" t="s">
        <v>25</v>
      </c>
      <c r="B115" s="142" t="s">
        <v>723</v>
      </c>
      <c r="C115" s="142" t="s">
        <v>724</v>
      </c>
      <c r="D115" s="142" t="s">
        <v>725</v>
      </c>
      <c r="E115" s="143">
        <v>5322</v>
      </c>
      <c r="F115" s="142" t="s">
        <v>1357</v>
      </c>
      <c r="G115" s="142" t="s">
        <v>726</v>
      </c>
      <c r="H115" s="144" t="s">
        <v>727</v>
      </c>
      <c r="I115" s="142" t="s">
        <v>728</v>
      </c>
      <c r="J115" s="142" t="s">
        <v>729</v>
      </c>
      <c r="K115" s="142"/>
    </row>
    <row r="116" spans="1:11" ht="18.5" hidden="1" x14ac:dyDescent="0.45">
      <c r="A116" s="142" t="s">
        <v>25</v>
      </c>
      <c r="B116" s="142" t="s">
        <v>217</v>
      </c>
      <c r="C116" s="142" t="s">
        <v>218</v>
      </c>
      <c r="D116" s="142" t="s">
        <v>219</v>
      </c>
      <c r="E116" s="143">
        <v>5618</v>
      </c>
      <c r="F116" s="142" t="s">
        <v>1367</v>
      </c>
      <c r="G116" s="142" t="s">
        <v>220</v>
      </c>
      <c r="H116" s="144" t="s">
        <v>221</v>
      </c>
      <c r="I116" s="142" t="s">
        <v>222</v>
      </c>
      <c r="J116" s="142" t="s">
        <v>223</v>
      </c>
      <c r="K116" s="142"/>
    </row>
    <row r="117" spans="1:11" ht="18.5" hidden="1" x14ac:dyDescent="0.45">
      <c r="A117" s="142" t="s">
        <v>25</v>
      </c>
      <c r="B117" s="142" t="s">
        <v>838</v>
      </c>
      <c r="C117" s="142" t="s">
        <v>839</v>
      </c>
      <c r="D117" s="142" t="s">
        <v>840</v>
      </c>
      <c r="E117" s="143">
        <v>5023</v>
      </c>
      <c r="F117" s="142" t="s">
        <v>1414</v>
      </c>
      <c r="G117" s="142" t="s">
        <v>841</v>
      </c>
      <c r="H117" s="144" t="s">
        <v>842</v>
      </c>
      <c r="I117" s="142" t="s">
        <v>843</v>
      </c>
      <c r="J117" s="142" t="s">
        <v>844</v>
      </c>
      <c r="K117" s="142"/>
    </row>
    <row r="118" spans="1:11" ht="18.5" hidden="1" x14ac:dyDescent="0.45">
      <c r="A118" s="142" t="s">
        <v>25</v>
      </c>
      <c r="B118" s="142" t="s">
        <v>813</v>
      </c>
      <c r="C118" s="142" t="s">
        <v>814</v>
      </c>
      <c r="D118" s="142" t="s">
        <v>815</v>
      </c>
      <c r="E118" s="143">
        <v>5034</v>
      </c>
      <c r="F118" s="142" t="s">
        <v>1366</v>
      </c>
      <c r="G118" s="142" t="s">
        <v>816</v>
      </c>
      <c r="H118" s="144" t="s">
        <v>51</v>
      </c>
      <c r="I118" s="142" t="s">
        <v>817</v>
      </c>
      <c r="J118" s="142" t="s">
        <v>818</v>
      </c>
      <c r="K118" s="142"/>
    </row>
    <row r="119" spans="1:11" ht="18.5" hidden="1" x14ac:dyDescent="0.45">
      <c r="A119" s="142" t="s">
        <v>25</v>
      </c>
      <c r="B119" s="142" t="s">
        <v>128</v>
      </c>
      <c r="C119" s="142" t="s">
        <v>116</v>
      </c>
      <c r="D119" s="142" t="s">
        <v>123</v>
      </c>
      <c r="E119" s="143">
        <v>5436</v>
      </c>
      <c r="F119" s="142" t="s">
        <v>1351</v>
      </c>
      <c r="G119" s="142" t="s">
        <v>124</v>
      </c>
      <c r="H119" s="144" t="s">
        <v>129</v>
      </c>
      <c r="I119" s="142" t="s">
        <v>1424</v>
      </c>
      <c r="J119" s="142" t="s">
        <v>130</v>
      </c>
      <c r="K119" s="142"/>
    </row>
    <row r="120" spans="1:11" ht="18.5" hidden="1" x14ac:dyDescent="0.45">
      <c r="A120" s="142" t="s">
        <v>25</v>
      </c>
      <c r="B120" s="142" t="s">
        <v>290</v>
      </c>
      <c r="C120" s="142" t="s">
        <v>291</v>
      </c>
      <c r="D120" s="142" t="s">
        <v>292</v>
      </c>
      <c r="E120" s="143">
        <v>5037</v>
      </c>
      <c r="F120" s="142" t="s">
        <v>1374</v>
      </c>
      <c r="G120" s="142" t="s">
        <v>293</v>
      </c>
      <c r="H120" s="144" t="s">
        <v>294</v>
      </c>
      <c r="I120" s="142" t="s">
        <v>295</v>
      </c>
      <c r="J120" s="142" t="s">
        <v>296</v>
      </c>
      <c r="K120" s="142"/>
    </row>
    <row r="121" spans="1:11" ht="18.5" hidden="1" x14ac:dyDescent="0.45">
      <c r="A121" s="142" t="s">
        <v>25</v>
      </c>
      <c r="B121" s="142" t="s">
        <v>609</v>
      </c>
      <c r="C121" s="142" t="s">
        <v>610</v>
      </c>
      <c r="D121" s="142" t="s">
        <v>611</v>
      </c>
      <c r="E121" s="143">
        <v>8320</v>
      </c>
      <c r="F121" s="142" t="s">
        <v>1398</v>
      </c>
      <c r="G121" s="142" t="s">
        <v>612</v>
      </c>
      <c r="H121" s="144" t="s">
        <v>613</v>
      </c>
      <c r="I121" s="142" t="s">
        <v>614</v>
      </c>
      <c r="J121" s="142" t="s">
        <v>615</v>
      </c>
      <c r="K121" s="142"/>
    </row>
    <row r="122" spans="1:11" ht="18.5" hidden="1" x14ac:dyDescent="0.45">
      <c r="A122" s="142" t="s">
        <v>25</v>
      </c>
      <c r="B122" s="142" t="s">
        <v>548</v>
      </c>
      <c r="C122" s="142" t="s">
        <v>549</v>
      </c>
      <c r="D122" s="142" t="s">
        <v>550</v>
      </c>
      <c r="E122" s="143">
        <v>1000</v>
      </c>
      <c r="F122" s="142" t="s">
        <v>1393</v>
      </c>
      <c r="G122" s="142" t="s">
        <v>551</v>
      </c>
      <c r="H122" s="144" t="s">
        <v>552</v>
      </c>
      <c r="I122" s="142" t="s">
        <v>553</v>
      </c>
      <c r="J122" s="142" t="s">
        <v>554</v>
      </c>
      <c r="K122" s="142"/>
    </row>
    <row r="123" spans="1:11" ht="18.5" hidden="1" x14ac:dyDescent="0.45">
      <c r="A123" s="142" t="s">
        <v>25</v>
      </c>
      <c r="B123" s="142" t="s">
        <v>398</v>
      </c>
      <c r="C123" s="142" t="s">
        <v>392</v>
      </c>
      <c r="D123" s="142" t="s">
        <v>393</v>
      </c>
      <c r="E123" s="143">
        <v>8636</v>
      </c>
      <c r="F123" s="142" t="s">
        <v>1383</v>
      </c>
      <c r="G123" s="142" t="s">
        <v>394</v>
      </c>
      <c r="H123" s="144" t="s">
        <v>399</v>
      </c>
      <c r="I123" s="142" t="s">
        <v>400</v>
      </c>
      <c r="J123" s="142" t="s">
        <v>401</v>
      </c>
      <c r="K123" s="142"/>
    </row>
    <row r="124" spans="1:11" ht="18.5" hidden="1" x14ac:dyDescent="0.45">
      <c r="A124" s="142" t="s">
        <v>25</v>
      </c>
      <c r="B124" s="142" t="s">
        <v>303</v>
      </c>
      <c r="C124" s="142" t="s">
        <v>304</v>
      </c>
      <c r="D124" s="142" t="s">
        <v>305</v>
      </c>
      <c r="E124" s="143">
        <v>5034</v>
      </c>
      <c r="F124" s="142" t="s">
        <v>1366</v>
      </c>
      <c r="G124" s="142" t="s">
        <v>306</v>
      </c>
      <c r="H124" s="144" t="s">
        <v>307</v>
      </c>
      <c r="I124" s="142" t="s">
        <v>308</v>
      </c>
      <c r="J124" s="142" t="s">
        <v>309</v>
      </c>
      <c r="K124" s="142"/>
    </row>
    <row r="125" spans="1:11" ht="18.5" hidden="1" x14ac:dyDescent="0.45">
      <c r="A125" s="142" t="s">
        <v>25</v>
      </c>
      <c r="B125" s="142" t="s">
        <v>270</v>
      </c>
      <c r="C125" s="142" t="s">
        <v>271</v>
      </c>
      <c r="D125" s="142" t="s">
        <v>272</v>
      </c>
      <c r="E125" s="143">
        <v>5722</v>
      </c>
      <c r="F125" s="142" t="s">
        <v>1373</v>
      </c>
      <c r="G125" s="142" t="s">
        <v>273</v>
      </c>
      <c r="H125" s="144" t="s">
        <v>274</v>
      </c>
      <c r="I125" s="142" t="s">
        <v>275</v>
      </c>
      <c r="J125" s="142" t="s">
        <v>276</v>
      </c>
      <c r="K125" s="142"/>
    </row>
    <row r="126" spans="1:11" ht="18.5" hidden="1" x14ac:dyDescent="0.45">
      <c r="A126" s="142" t="s">
        <v>25</v>
      </c>
      <c r="B126" s="142" t="s">
        <v>575</v>
      </c>
      <c r="C126" s="142" t="s">
        <v>576</v>
      </c>
      <c r="D126" s="142" t="s">
        <v>577</v>
      </c>
      <c r="E126" s="143">
        <v>5037</v>
      </c>
      <c r="F126" s="142" t="s">
        <v>1374</v>
      </c>
      <c r="G126" s="142" t="s">
        <v>578</v>
      </c>
      <c r="H126" s="144" t="s">
        <v>579</v>
      </c>
      <c r="I126" s="142" t="s">
        <v>580</v>
      </c>
      <c r="J126" s="142" t="s">
        <v>581</v>
      </c>
      <c r="K126" s="142"/>
    </row>
    <row r="127" spans="1:11" ht="18.5" hidden="1" x14ac:dyDescent="0.45">
      <c r="A127" s="142" t="s">
        <v>25</v>
      </c>
      <c r="B127" s="142" t="s">
        <v>101</v>
      </c>
      <c r="C127" s="142" t="s">
        <v>102</v>
      </c>
      <c r="D127" s="142" t="s">
        <v>103</v>
      </c>
      <c r="E127" s="143">
        <v>5000</v>
      </c>
      <c r="F127" s="142" t="s">
        <v>891</v>
      </c>
      <c r="G127" s="142" t="s">
        <v>104</v>
      </c>
      <c r="H127" s="144" t="s">
        <v>105</v>
      </c>
      <c r="I127" s="142" t="s">
        <v>106</v>
      </c>
      <c r="J127" s="142" t="s">
        <v>107</v>
      </c>
      <c r="K127" s="142"/>
    </row>
    <row r="128" spans="1:11" ht="18.5" hidden="1" x14ac:dyDescent="0.45">
      <c r="A128" s="142" t="s">
        <v>25</v>
      </c>
      <c r="B128" s="142" t="s">
        <v>1479</v>
      </c>
      <c r="C128" s="142" t="s">
        <v>758</v>
      </c>
      <c r="D128" s="142" t="s">
        <v>759</v>
      </c>
      <c r="E128" s="143">
        <v>4114</v>
      </c>
      <c r="F128" s="142" t="s">
        <v>1410</v>
      </c>
      <c r="G128" s="142" t="s">
        <v>760</v>
      </c>
      <c r="H128" s="144" t="s">
        <v>761</v>
      </c>
      <c r="I128" s="142" t="s">
        <v>762</v>
      </c>
      <c r="J128" s="142" t="s">
        <v>763</v>
      </c>
      <c r="K128" s="142"/>
    </row>
    <row r="129" spans="1:11" ht="18.5" hidden="1" x14ac:dyDescent="0.45">
      <c r="A129" s="142" t="s">
        <v>25</v>
      </c>
      <c r="B129" s="142" t="s">
        <v>466</v>
      </c>
      <c r="C129" s="142" t="s">
        <v>467</v>
      </c>
      <c r="D129" s="142" t="s">
        <v>468</v>
      </c>
      <c r="E129" s="143">
        <v>8408</v>
      </c>
      <c r="F129" s="142" t="s">
        <v>1388</v>
      </c>
      <c r="G129" s="142" t="s">
        <v>469</v>
      </c>
      <c r="H129" s="144" t="s">
        <v>470</v>
      </c>
      <c r="I129" s="142" t="s">
        <v>471</v>
      </c>
      <c r="J129" s="142" t="s">
        <v>472</v>
      </c>
      <c r="K129" s="142"/>
    </row>
    <row r="130" spans="1:11" ht="18.5" hidden="1" x14ac:dyDescent="0.45">
      <c r="A130" s="142" t="s">
        <v>25</v>
      </c>
      <c r="B130" s="142" t="s">
        <v>473</v>
      </c>
      <c r="C130" s="142" t="s">
        <v>467</v>
      </c>
      <c r="D130" s="142" t="s">
        <v>468</v>
      </c>
      <c r="E130" s="143">
        <v>8408</v>
      </c>
      <c r="F130" s="142" t="s">
        <v>1388</v>
      </c>
      <c r="G130" s="142" t="s">
        <v>469</v>
      </c>
      <c r="H130" s="144" t="s">
        <v>470</v>
      </c>
      <c r="I130" s="142" t="s">
        <v>474</v>
      </c>
      <c r="J130" s="142" t="s">
        <v>472</v>
      </c>
      <c r="K130" s="142"/>
    </row>
    <row r="131" spans="1:11" ht="18.5" hidden="1" x14ac:dyDescent="0.45">
      <c r="A131" s="142" t="s">
        <v>25</v>
      </c>
      <c r="B131" s="142" t="s">
        <v>527</v>
      </c>
      <c r="C131" s="142" t="s">
        <v>528</v>
      </c>
      <c r="D131" s="142" t="s">
        <v>529</v>
      </c>
      <c r="E131" s="143">
        <v>8305</v>
      </c>
      <c r="F131" s="142" t="s">
        <v>1391</v>
      </c>
      <c r="G131" s="142" t="s">
        <v>530</v>
      </c>
      <c r="H131" s="144" t="s">
        <v>531</v>
      </c>
      <c r="I131" s="142" t="s">
        <v>532</v>
      </c>
      <c r="J131" s="142" t="s">
        <v>533</v>
      </c>
      <c r="K131" s="142"/>
    </row>
    <row r="132" spans="1:11" ht="18.5" hidden="1" x14ac:dyDescent="0.45">
      <c r="A132" s="142" t="s">
        <v>25</v>
      </c>
      <c r="B132" s="142" t="s">
        <v>1478</v>
      </c>
      <c r="C132" s="142" t="s">
        <v>711</v>
      </c>
      <c r="D132" s="142" t="s">
        <v>712</v>
      </c>
      <c r="E132" s="143">
        <v>4800</v>
      </c>
      <c r="F132" s="142" t="s">
        <v>1407</v>
      </c>
      <c r="G132" s="142" t="s">
        <v>713</v>
      </c>
      <c r="H132" s="144" t="s">
        <v>714</v>
      </c>
      <c r="I132" s="142" t="s">
        <v>715</v>
      </c>
      <c r="J132" s="142" t="s">
        <v>716</v>
      </c>
      <c r="K132" s="142"/>
    </row>
    <row r="133" spans="1:11" ht="18.5" hidden="1" x14ac:dyDescent="0.45">
      <c r="A133" s="142" t="s">
        <v>25</v>
      </c>
      <c r="B133" s="142" t="s">
        <v>1476</v>
      </c>
      <c r="C133" s="142" t="s">
        <v>1475</v>
      </c>
      <c r="D133" s="142" t="s">
        <v>1537</v>
      </c>
      <c r="E133" s="143">
        <v>5000</v>
      </c>
      <c r="F133" s="142" t="s">
        <v>891</v>
      </c>
      <c r="G133" s="142" t="s">
        <v>421</v>
      </c>
      <c r="H133" s="144" t="s">
        <v>422</v>
      </c>
      <c r="I133" s="142" t="s">
        <v>423</v>
      </c>
      <c r="J133" s="142" t="s">
        <v>424</v>
      </c>
      <c r="K133" s="142"/>
    </row>
    <row r="134" spans="1:11" ht="37" hidden="1" x14ac:dyDescent="0.45">
      <c r="A134" s="142" t="s">
        <v>25</v>
      </c>
      <c r="B134" s="142" t="s">
        <v>626</v>
      </c>
      <c r="C134" s="142" t="s">
        <v>627</v>
      </c>
      <c r="D134" s="142" t="s">
        <v>628</v>
      </c>
      <c r="E134" s="143">
        <v>5626</v>
      </c>
      <c r="F134" s="142" t="s">
        <v>1400</v>
      </c>
      <c r="G134" s="142" t="s">
        <v>629</v>
      </c>
      <c r="H134" s="144" t="s">
        <v>630</v>
      </c>
      <c r="I134" s="142" t="s">
        <v>631</v>
      </c>
      <c r="J134" s="142" t="s">
        <v>632</v>
      </c>
      <c r="K134" s="146" t="s">
        <v>1495</v>
      </c>
    </row>
    <row r="135" spans="1:11" ht="18.5" hidden="1" x14ac:dyDescent="0.45">
      <c r="A135" s="142" t="s">
        <v>25</v>
      </c>
      <c r="B135" s="142" t="s">
        <v>352</v>
      </c>
      <c r="C135" s="142" t="s">
        <v>346</v>
      </c>
      <c r="D135" s="142" t="s">
        <v>347</v>
      </c>
      <c r="E135" s="143">
        <v>5034</v>
      </c>
      <c r="F135" s="142" t="s">
        <v>1366</v>
      </c>
      <c r="G135" s="142" t="s">
        <v>353</v>
      </c>
      <c r="H135" s="144" t="s">
        <v>354</v>
      </c>
      <c r="I135" s="142" t="s">
        <v>355</v>
      </c>
      <c r="J135" s="142" t="s">
        <v>356</v>
      </c>
      <c r="K135" s="142"/>
    </row>
    <row r="136" spans="1:11" ht="18.5" hidden="1" x14ac:dyDescent="0.45">
      <c r="A136" s="142" t="s">
        <v>25</v>
      </c>
      <c r="B136" s="142" t="s">
        <v>108</v>
      </c>
      <c r="C136" s="142" t="s">
        <v>109</v>
      </c>
      <c r="D136" s="142" t="s">
        <v>110</v>
      </c>
      <c r="E136" s="143">
        <v>4147</v>
      </c>
      <c r="F136" s="142" t="s">
        <v>1358</v>
      </c>
      <c r="G136" s="142" t="s">
        <v>111</v>
      </c>
      <c r="H136" s="144" t="s">
        <v>112</v>
      </c>
      <c r="I136" s="142" t="s">
        <v>113</v>
      </c>
      <c r="J136" s="142" t="s">
        <v>114</v>
      </c>
      <c r="K136" s="142"/>
    </row>
    <row r="137" spans="1:11" ht="18.5" x14ac:dyDescent="0.45">
      <c r="A137" s="81"/>
      <c r="B137" s="81"/>
      <c r="C137" s="81"/>
      <c r="D137" s="81"/>
      <c r="E137" s="141"/>
      <c r="F137" s="81"/>
      <c r="G137" s="81"/>
      <c r="H137" s="81"/>
      <c r="I137" s="81"/>
      <c r="J137" s="81"/>
      <c r="K137" s="81"/>
    </row>
    <row r="138" spans="1:11" ht="18.5" x14ac:dyDescent="0.45">
      <c r="A138" s="80" t="s">
        <v>859</v>
      </c>
      <c r="B138" s="81"/>
      <c r="C138" s="81"/>
      <c r="D138" s="81"/>
      <c r="E138" s="141"/>
      <c r="F138" s="81"/>
      <c r="G138" s="81"/>
      <c r="H138" s="81"/>
      <c r="I138" s="81"/>
      <c r="J138" s="81"/>
      <c r="K138" s="81"/>
    </row>
    <row r="139" spans="1:11" ht="18.5" x14ac:dyDescent="0.45">
      <c r="A139" s="81" t="s">
        <v>10</v>
      </c>
      <c r="B139" s="81" t="s">
        <v>12</v>
      </c>
      <c r="C139" s="81" t="s">
        <v>11</v>
      </c>
      <c r="D139" s="81" t="s">
        <v>860</v>
      </c>
      <c r="E139" s="141" t="s">
        <v>861</v>
      </c>
      <c r="F139" s="81" t="s">
        <v>862</v>
      </c>
      <c r="G139" s="81" t="s">
        <v>863</v>
      </c>
      <c r="H139" s="81" t="s">
        <v>864</v>
      </c>
      <c r="I139" s="81" t="s">
        <v>15</v>
      </c>
      <c r="J139" s="81" t="s">
        <v>865</v>
      </c>
      <c r="K139" s="81"/>
    </row>
    <row r="140" spans="1:11" ht="18.5" x14ac:dyDescent="0.45">
      <c r="A140" s="143" t="s">
        <v>18</v>
      </c>
      <c r="B140" s="143" t="s">
        <v>866</v>
      </c>
      <c r="C140" s="143" t="s">
        <v>867</v>
      </c>
      <c r="D140" s="143" t="s">
        <v>1501</v>
      </c>
      <c r="E140" s="143">
        <v>4562</v>
      </c>
      <c r="F140" s="143" t="s">
        <v>1502</v>
      </c>
      <c r="G140" s="143" t="s">
        <v>869</v>
      </c>
      <c r="H140" s="143" t="s">
        <v>1503</v>
      </c>
      <c r="I140" s="143" t="s">
        <v>868</v>
      </c>
      <c r="J140" s="143" t="s">
        <v>873</v>
      </c>
      <c r="K140" s="81"/>
    </row>
    <row r="141" spans="1:11" ht="18.5" x14ac:dyDescent="0.45">
      <c r="A141" s="143" t="s">
        <v>18</v>
      </c>
      <c r="B141" s="143" t="s">
        <v>870</v>
      </c>
      <c r="C141" s="143" t="s">
        <v>871</v>
      </c>
      <c r="D141" s="143" t="s">
        <v>1431</v>
      </c>
      <c r="E141" s="143">
        <v>5000</v>
      </c>
      <c r="F141" s="143" t="s">
        <v>891</v>
      </c>
      <c r="G141" s="143" t="s">
        <v>872</v>
      </c>
      <c r="H141" s="143" t="s">
        <v>1432</v>
      </c>
      <c r="I141" s="145">
        <v>34427</v>
      </c>
      <c r="J141" s="143" t="s">
        <v>873</v>
      </c>
      <c r="K141" s="81"/>
    </row>
    <row r="142" spans="1:11" ht="18.5" x14ac:dyDescent="0.45">
      <c r="A142" s="143" t="s">
        <v>25</v>
      </c>
      <c r="B142" s="143" t="s">
        <v>874</v>
      </c>
      <c r="C142" s="143" t="s">
        <v>875</v>
      </c>
      <c r="D142" s="143" t="s">
        <v>876</v>
      </c>
      <c r="E142" s="143" t="s">
        <v>877</v>
      </c>
      <c r="F142" s="143" t="s">
        <v>878</v>
      </c>
      <c r="G142" s="143" t="s">
        <v>879</v>
      </c>
      <c r="H142" s="143" t="s">
        <v>1511</v>
      </c>
      <c r="I142" s="143" t="s">
        <v>880</v>
      </c>
      <c r="J142" s="143" t="s">
        <v>873</v>
      </c>
      <c r="K142" s="81"/>
    </row>
    <row r="143" spans="1:11" ht="18.5" x14ac:dyDescent="0.45">
      <c r="A143" s="143" t="s">
        <v>18</v>
      </c>
      <c r="B143" s="143" t="s">
        <v>1504</v>
      </c>
      <c r="C143" s="143" t="s">
        <v>1439</v>
      </c>
      <c r="D143" s="143" t="s">
        <v>1505</v>
      </c>
      <c r="E143" s="143">
        <v>5406</v>
      </c>
      <c r="F143" s="143" t="s">
        <v>1514</v>
      </c>
      <c r="G143" s="143" t="s">
        <v>1507</v>
      </c>
      <c r="H143" s="143" t="s">
        <v>1506</v>
      </c>
      <c r="I143" s="145"/>
      <c r="J143" s="143"/>
      <c r="K143" s="81"/>
    </row>
    <row r="144" spans="1:11" ht="18.5" x14ac:dyDescent="0.45">
      <c r="A144" s="143" t="s">
        <v>25</v>
      </c>
      <c r="B144" s="143" t="s">
        <v>881</v>
      </c>
      <c r="C144" s="143" t="s">
        <v>882</v>
      </c>
      <c r="D144" s="143" t="s">
        <v>883</v>
      </c>
      <c r="E144" s="143" t="s">
        <v>884</v>
      </c>
      <c r="F144" s="143" t="s">
        <v>1428</v>
      </c>
      <c r="G144" s="143" t="s">
        <v>885</v>
      </c>
      <c r="H144" s="143" t="s">
        <v>1510</v>
      </c>
      <c r="I144" s="143" t="s">
        <v>886</v>
      </c>
      <c r="J144" s="143" t="s">
        <v>873</v>
      </c>
      <c r="K144" s="81"/>
    </row>
    <row r="145" spans="1:11" ht="18.5" x14ac:dyDescent="0.45">
      <c r="A145" s="143" t="s">
        <v>18</v>
      </c>
      <c r="B145" s="143" t="s">
        <v>887</v>
      </c>
      <c r="C145" s="143" t="s">
        <v>888</v>
      </c>
      <c r="D145" s="143" t="s">
        <v>889</v>
      </c>
      <c r="E145" s="143" t="s">
        <v>890</v>
      </c>
      <c r="F145" s="143" t="s">
        <v>891</v>
      </c>
      <c r="G145" s="143" t="s">
        <v>892</v>
      </c>
      <c r="H145" s="143" t="s">
        <v>893</v>
      </c>
      <c r="I145" s="143" t="s">
        <v>894</v>
      </c>
      <c r="J145" s="143" t="s">
        <v>873</v>
      </c>
      <c r="K145" s="81"/>
    </row>
    <row r="146" spans="1:11" ht="18.5" x14ac:dyDescent="0.45">
      <c r="A146" s="143" t="s">
        <v>25</v>
      </c>
      <c r="B146" s="143" t="s">
        <v>895</v>
      </c>
      <c r="C146" s="143" t="s">
        <v>896</v>
      </c>
      <c r="D146" s="143" t="s">
        <v>897</v>
      </c>
      <c r="E146" s="143" t="s">
        <v>890</v>
      </c>
      <c r="F146" s="143" t="s">
        <v>891</v>
      </c>
      <c r="G146" s="143" t="s">
        <v>898</v>
      </c>
      <c r="H146" s="143" t="s">
        <v>1512</v>
      </c>
      <c r="I146" s="143" t="s">
        <v>868</v>
      </c>
      <c r="J146" s="143" t="s">
        <v>873</v>
      </c>
      <c r="K146" s="81"/>
    </row>
    <row r="147" spans="1:11" ht="18.5" x14ac:dyDescent="0.45">
      <c r="A147" s="143" t="s">
        <v>25</v>
      </c>
      <c r="B147" s="143" t="s">
        <v>899</v>
      </c>
      <c r="C147" s="143" t="s">
        <v>900</v>
      </c>
      <c r="D147" s="143" t="s">
        <v>901</v>
      </c>
      <c r="E147" s="143" t="s">
        <v>902</v>
      </c>
      <c r="F147" s="143" t="s">
        <v>903</v>
      </c>
      <c r="G147" s="143" t="s">
        <v>904</v>
      </c>
      <c r="H147" s="143" t="s">
        <v>905</v>
      </c>
      <c r="I147" s="143" t="s">
        <v>906</v>
      </c>
      <c r="J147" s="143" t="s">
        <v>873</v>
      </c>
      <c r="K147" s="81"/>
    </row>
    <row r="148" spans="1:11" ht="18.5" x14ac:dyDescent="0.45">
      <c r="A148" s="143" t="s">
        <v>18</v>
      </c>
      <c r="B148" s="143" t="s">
        <v>907</v>
      </c>
      <c r="C148" s="143" t="s">
        <v>908</v>
      </c>
      <c r="D148" s="143" t="s">
        <v>909</v>
      </c>
      <c r="E148" s="143" t="s">
        <v>910</v>
      </c>
      <c r="F148" s="143" t="s">
        <v>911</v>
      </c>
      <c r="G148" s="143" t="s">
        <v>912</v>
      </c>
      <c r="H148" s="143" t="s">
        <v>1513</v>
      </c>
      <c r="I148" s="143" t="s">
        <v>913</v>
      </c>
      <c r="J148" s="143" t="s">
        <v>873</v>
      </c>
      <c r="K148" s="81"/>
    </row>
    <row r="149" spans="1:11" ht="18.5" x14ac:dyDescent="0.45">
      <c r="A149" s="143" t="s">
        <v>25</v>
      </c>
      <c r="B149" s="143" t="s">
        <v>914</v>
      </c>
      <c r="C149" s="143" t="s">
        <v>915</v>
      </c>
      <c r="D149" s="143" t="s">
        <v>1508</v>
      </c>
      <c r="E149" s="143">
        <v>5000</v>
      </c>
      <c r="F149" s="143" t="s">
        <v>891</v>
      </c>
      <c r="G149" s="143" t="s">
        <v>916</v>
      </c>
      <c r="H149" s="143" t="s">
        <v>1509</v>
      </c>
      <c r="I149" s="143" t="s">
        <v>868</v>
      </c>
      <c r="J149" s="143" t="s">
        <v>873</v>
      </c>
      <c r="K149" s="81"/>
    </row>
    <row r="150" spans="1:11" ht="18.5" x14ac:dyDescent="0.45">
      <c r="A150" s="143" t="s">
        <v>18</v>
      </c>
      <c r="B150" s="143" t="s">
        <v>917</v>
      </c>
      <c r="C150" s="143" t="s">
        <v>918</v>
      </c>
      <c r="D150" s="143" t="s">
        <v>919</v>
      </c>
      <c r="E150" s="143" t="s">
        <v>920</v>
      </c>
      <c r="F150" s="143" t="s">
        <v>1429</v>
      </c>
      <c r="G150" s="143" t="s">
        <v>921</v>
      </c>
      <c r="H150" s="143" t="s">
        <v>1433</v>
      </c>
      <c r="I150" s="143" t="s">
        <v>922</v>
      </c>
      <c r="J150" s="143" t="s">
        <v>873</v>
      </c>
      <c r="K150" s="81"/>
    </row>
    <row r="151" spans="1:11" ht="18.5" x14ac:dyDescent="0.45">
      <c r="A151" s="143" t="s">
        <v>18</v>
      </c>
      <c r="B151" s="143" t="s">
        <v>923</v>
      </c>
      <c r="C151" s="143" t="s">
        <v>924</v>
      </c>
      <c r="D151" s="143" t="s">
        <v>925</v>
      </c>
      <c r="E151" s="143" t="s">
        <v>926</v>
      </c>
      <c r="F151" s="143" t="s">
        <v>1430</v>
      </c>
      <c r="G151" s="143" t="s">
        <v>927</v>
      </c>
      <c r="H151" s="143" t="s">
        <v>928</v>
      </c>
      <c r="I151" s="143" t="s">
        <v>929</v>
      </c>
      <c r="J151" s="143" t="s">
        <v>873</v>
      </c>
      <c r="K151" s="81"/>
    </row>
    <row r="152" spans="1:11" ht="18.5" x14ac:dyDescent="0.45">
      <c r="A152" s="143" t="s">
        <v>18</v>
      </c>
      <c r="B152" s="143" t="s">
        <v>931</v>
      </c>
      <c r="C152" s="143" t="s">
        <v>924</v>
      </c>
      <c r="D152" s="143" t="s">
        <v>932</v>
      </c>
      <c r="E152" s="143" t="s">
        <v>890</v>
      </c>
      <c r="F152" s="143" t="s">
        <v>891</v>
      </c>
      <c r="G152" s="143" t="s">
        <v>933</v>
      </c>
      <c r="H152" s="143" t="s">
        <v>1434</v>
      </c>
      <c r="I152" s="143" t="s">
        <v>934</v>
      </c>
      <c r="J152" s="143" t="s">
        <v>873</v>
      </c>
      <c r="K152" s="81"/>
    </row>
    <row r="153" spans="1:11" ht="18.5" x14ac:dyDescent="0.45">
      <c r="A153" s="143" t="s">
        <v>25</v>
      </c>
      <c r="B153" s="143" t="s">
        <v>935</v>
      </c>
      <c r="C153" s="143" t="s">
        <v>936</v>
      </c>
      <c r="D153" s="143" t="s">
        <v>1515</v>
      </c>
      <c r="E153" s="143">
        <v>4665</v>
      </c>
      <c r="F153" s="143" t="s">
        <v>1522</v>
      </c>
      <c r="G153" s="143" t="s">
        <v>937</v>
      </c>
      <c r="H153" s="143" t="s">
        <v>1528</v>
      </c>
      <c r="I153" s="143" t="s">
        <v>868</v>
      </c>
      <c r="J153" s="143" t="s">
        <v>873</v>
      </c>
      <c r="K153" s="81"/>
    </row>
    <row r="154" spans="1:11" ht="18.5" x14ac:dyDescent="0.45">
      <c r="A154" s="143" t="s">
        <v>25</v>
      </c>
      <c r="B154" s="143" t="s">
        <v>938</v>
      </c>
      <c r="C154" s="143" t="s">
        <v>939</v>
      </c>
      <c r="D154" s="143" t="s">
        <v>1516</v>
      </c>
      <c r="E154" s="143">
        <v>5000</v>
      </c>
      <c r="F154" s="143" t="s">
        <v>891</v>
      </c>
      <c r="G154" s="143" t="s">
        <v>940</v>
      </c>
      <c r="H154" s="143" t="s">
        <v>1529</v>
      </c>
      <c r="I154" s="143" t="s">
        <v>868</v>
      </c>
      <c r="J154" s="143" t="s">
        <v>873</v>
      </c>
      <c r="K154" s="81"/>
    </row>
    <row r="155" spans="1:11" ht="18.5" x14ac:dyDescent="0.45">
      <c r="A155" s="143" t="s">
        <v>25</v>
      </c>
      <c r="B155" s="143" t="s">
        <v>941</v>
      </c>
      <c r="C155" s="143" t="s">
        <v>310</v>
      </c>
      <c r="D155" s="143" t="s">
        <v>1517</v>
      </c>
      <c r="E155" s="143">
        <v>5603</v>
      </c>
      <c r="F155" s="143" t="s">
        <v>1523</v>
      </c>
      <c r="G155" s="143" t="s">
        <v>942</v>
      </c>
      <c r="H155" s="143" t="s">
        <v>1530</v>
      </c>
      <c r="I155" s="143" t="s">
        <v>868</v>
      </c>
      <c r="J155" s="143" t="s">
        <v>873</v>
      </c>
      <c r="K155" s="81"/>
    </row>
    <row r="156" spans="1:11" ht="18.5" x14ac:dyDescent="0.45">
      <c r="A156" s="143" t="s">
        <v>25</v>
      </c>
      <c r="B156" s="143" t="s">
        <v>943</v>
      </c>
      <c r="C156" s="143" t="s">
        <v>944</v>
      </c>
      <c r="D156" s="143" t="s">
        <v>909</v>
      </c>
      <c r="E156" s="143">
        <v>5012</v>
      </c>
      <c r="F156" s="143" t="s">
        <v>911</v>
      </c>
      <c r="G156" s="143" t="s">
        <v>945</v>
      </c>
      <c r="H156" s="143" t="s">
        <v>1531</v>
      </c>
      <c r="I156" s="143" t="s">
        <v>868</v>
      </c>
      <c r="J156" s="143" t="s">
        <v>873</v>
      </c>
      <c r="K156" s="81"/>
    </row>
    <row r="157" spans="1:11" ht="18.5" x14ac:dyDescent="0.45">
      <c r="A157" s="143" t="s">
        <v>18</v>
      </c>
      <c r="B157" s="143" t="s">
        <v>946</v>
      </c>
      <c r="C157" s="143" t="s">
        <v>947</v>
      </c>
      <c r="D157" s="143" t="s">
        <v>1518</v>
      </c>
      <c r="E157" s="143">
        <v>4536</v>
      </c>
      <c r="F157" s="143" t="s">
        <v>1524</v>
      </c>
      <c r="G157" s="143" t="s">
        <v>948</v>
      </c>
      <c r="H157" s="143" t="s">
        <v>1532</v>
      </c>
      <c r="I157" s="143" t="s">
        <v>868</v>
      </c>
      <c r="J157" s="143" t="s">
        <v>873</v>
      </c>
      <c r="K157" s="81"/>
    </row>
    <row r="158" spans="1:11" ht="18.5" x14ac:dyDescent="0.45">
      <c r="A158" s="143" t="s">
        <v>18</v>
      </c>
      <c r="B158" s="143" t="s">
        <v>949</v>
      </c>
      <c r="C158" s="143" t="s">
        <v>950</v>
      </c>
      <c r="D158" s="143" t="s">
        <v>951</v>
      </c>
      <c r="E158" s="143" t="s">
        <v>952</v>
      </c>
      <c r="F158" s="143" t="s">
        <v>953</v>
      </c>
      <c r="G158" s="143" t="s">
        <v>954</v>
      </c>
      <c r="H158" s="143" t="s">
        <v>1533</v>
      </c>
      <c r="I158" s="143" t="s">
        <v>955</v>
      </c>
      <c r="J158" s="143" t="s">
        <v>873</v>
      </c>
      <c r="K158" s="81"/>
    </row>
    <row r="159" spans="1:11" ht="18.5" x14ac:dyDescent="0.45">
      <c r="A159" s="143" t="s">
        <v>25</v>
      </c>
      <c r="B159" s="143" t="s">
        <v>956</v>
      </c>
      <c r="C159" s="143" t="s">
        <v>957</v>
      </c>
      <c r="D159" s="143" t="s">
        <v>1519</v>
      </c>
      <c r="E159" s="143">
        <v>6146</v>
      </c>
      <c r="F159" s="143" t="s">
        <v>1525</v>
      </c>
      <c r="G159" s="143" t="s">
        <v>958</v>
      </c>
      <c r="H159" s="143" t="s">
        <v>1534</v>
      </c>
      <c r="I159" s="143" t="s">
        <v>868</v>
      </c>
      <c r="J159" s="143" t="s">
        <v>873</v>
      </c>
      <c r="K159" s="81"/>
    </row>
    <row r="160" spans="1:11" ht="18.5" x14ac:dyDescent="0.45">
      <c r="A160" s="143" t="s">
        <v>25</v>
      </c>
      <c r="B160" s="143" t="s">
        <v>959</v>
      </c>
      <c r="C160" s="143" t="s">
        <v>960</v>
      </c>
      <c r="D160" s="143" t="s">
        <v>1520</v>
      </c>
      <c r="E160" s="143">
        <v>6006</v>
      </c>
      <c r="F160" s="143" t="s">
        <v>1526</v>
      </c>
      <c r="G160" s="143" t="s">
        <v>961</v>
      </c>
      <c r="H160" s="143" t="s">
        <v>1535</v>
      </c>
      <c r="I160" s="143" t="s">
        <v>868</v>
      </c>
      <c r="J160" s="143" t="s">
        <v>873</v>
      </c>
      <c r="K160" s="81"/>
    </row>
    <row r="161" spans="1:11" ht="18.5" x14ac:dyDescent="0.45">
      <c r="A161" s="143" t="s">
        <v>25</v>
      </c>
      <c r="B161" s="143" t="s">
        <v>962</v>
      </c>
      <c r="C161" s="143" t="s">
        <v>963</v>
      </c>
      <c r="D161" s="143" t="s">
        <v>1521</v>
      </c>
      <c r="E161" s="143">
        <v>4316</v>
      </c>
      <c r="F161" s="143" t="s">
        <v>1527</v>
      </c>
      <c r="G161" s="143" t="s">
        <v>964</v>
      </c>
      <c r="H161" s="143" t="s">
        <v>1536</v>
      </c>
      <c r="I161" s="143" t="s">
        <v>868</v>
      </c>
      <c r="J161" s="143" t="s">
        <v>873</v>
      </c>
      <c r="K161" s="81"/>
    </row>
    <row r="162" spans="1:11" ht="18.5" x14ac:dyDescent="0.45">
      <c r="A162" s="142" t="s">
        <v>18</v>
      </c>
      <c r="B162" s="142" t="s">
        <v>965</v>
      </c>
      <c r="C162" s="142" t="s">
        <v>966</v>
      </c>
      <c r="D162" s="143" t="s">
        <v>967</v>
      </c>
      <c r="E162" s="143" t="s">
        <v>968</v>
      </c>
      <c r="F162" s="142" t="s">
        <v>969</v>
      </c>
      <c r="G162" s="142" t="s">
        <v>970</v>
      </c>
      <c r="H162" s="142" t="s">
        <v>971</v>
      </c>
      <c r="I162" s="142" t="s">
        <v>972</v>
      </c>
      <c r="J162" s="142" t="s">
        <v>873</v>
      </c>
      <c r="K162" s="81"/>
    </row>
  </sheetData>
  <mergeCells count="3">
    <mergeCell ref="A1:F1"/>
    <mergeCell ref="A2:F2"/>
    <mergeCell ref="A3:F3"/>
  </mergeCells>
  <phoneticPr fontId="6" type="noConversion"/>
  <pageMargins left="0.7" right="0.7" top="0.78740157499999996" bottom="0.78740157499999996" header="0.3" footer="0.3"/>
  <pageSetup paperSize="8" scale="40" fitToHeight="0" orientation="portrait" r:id="rId1"/>
  <rowBreaks count="1" manualBreakCount="1">
    <brk id="136" max="16383" man="1"/>
  </rowBreak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35"/>
  <sheetViews>
    <sheetView tabSelected="1" zoomScale="70" zoomScaleNormal="70" zoomScaleSheetLayoutView="55" workbookViewId="0">
      <pane ySplit="3" topLeftCell="A4" activePane="bottomLeft" state="frozen"/>
      <selection pane="bottomLeft" activeCell="D35" sqref="D35"/>
    </sheetView>
  </sheetViews>
  <sheetFormatPr baseColWidth="10" defaultColWidth="9.1796875" defaultRowHeight="21" x14ac:dyDescent="0.5"/>
  <cols>
    <col min="1" max="1" width="19.81640625" style="6" customWidth="1"/>
    <col min="2" max="2" width="23.26953125" style="6" bestFit="1" customWidth="1"/>
    <col min="3" max="3" width="25.81640625" style="6" bestFit="1" customWidth="1"/>
    <col min="4" max="4" width="57" style="6" bestFit="1" customWidth="1"/>
    <col min="5" max="6" width="148.453125" style="6" bestFit="1" customWidth="1"/>
    <col min="7" max="7" width="103.54296875" style="6" bestFit="1" customWidth="1"/>
    <col min="8" max="8" width="30.81640625" style="6" bestFit="1" customWidth="1"/>
    <col min="9" max="9" width="29.7265625" style="6" bestFit="1" customWidth="1"/>
    <col min="10" max="10" width="26.1796875" style="6" bestFit="1" customWidth="1"/>
    <col min="11" max="11" width="56.7265625" style="6" bestFit="1" customWidth="1"/>
    <col min="12" max="12" width="42.26953125" style="6" bestFit="1" customWidth="1"/>
    <col min="13" max="13" width="27.1796875" style="6" bestFit="1" customWidth="1"/>
    <col min="14" max="14" width="47.453125" style="6" bestFit="1" customWidth="1"/>
    <col min="15" max="15" width="28.7265625" style="6" bestFit="1" customWidth="1"/>
    <col min="16" max="16" width="9.7265625" style="6" bestFit="1" customWidth="1"/>
    <col min="17" max="17" width="11.54296875" style="6" bestFit="1" customWidth="1"/>
    <col min="18" max="18" width="34.1796875" style="6" bestFit="1" customWidth="1"/>
    <col min="19" max="20" width="47.7265625" style="6" bestFit="1" customWidth="1"/>
    <col min="21" max="21" width="130.54296875" style="6" bestFit="1" customWidth="1"/>
    <col min="22" max="22" width="53.7265625" style="6" bestFit="1" customWidth="1"/>
    <col min="23" max="16384" width="9.1796875" style="6"/>
  </cols>
  <sheetData>
    <row r="1" spans="1:22" x14ac:dyDescent="0.5">
      <c r="A1" s="147" t="s">
        <v>0</v>
      </c>
      <c r="B1" s="148"/>
      <c r="C1" s="148"/>
      <c r="D1" s="148"/>
      <c r="E1" s="148"/>
      <c r="F1" s="148"/>
    </row>
    <row r="2" spans="1:22" x14ac:dyDescent="0.5">
      <c r="A2" s="147" t="s">
        <v>3</v>
      </c>
      <c r="B2" s="148"/>
      <c r="C2" s="148"/>
      <c r="D2" s="148"/>
      <c r="E2" s="148"/>
      <c r="F2" s="148"/>
    </row>
    <row r="4" spans="1:22" x14ac:dyDescent="0.5">
      <c r="A4" s="5" t="s">
        <v>1445</v>
      </c>
    </row>
    <row r="5" spans="1:22" x14ac:dyDescent="0.5">
      <c r="A5" s="6" t="s">
        <v>10</v>
      </c>
      <c r="B5" s="6" t="s">
        <v>12</v>
      </c>
      <c r="C5" s="6" t="s">
        <v>11</v>
      </c>
      <c r="D5" s="6" t="s">
        <v>863</v>
      </c>
      <c r="E5" s="6" t="s">
        <v>1443</v>
      </c>
      <c r="F5" s="6" t="s">
        <v>1444</v>
      </c>
      <c r="G5" s="6" t="s">
        <v>973</v>
      </c>
      <c r="H5" s="6" t="s">
        <v>974</v>
      </c>
      <c r="I5" s="6" t="s">
        <v>975</v>
      </c>
      <c r="J5" s="6" t="s">
        <v>976</v>
      </c>
      <c r="K5" s="6" t="s">
        <v>977</v>
      </c>
      <c r="L5" s="6" t="s">
        <v>978</v>
      </c>
      <c r="M5" s="6" t="s">
        <v>979</v>
      </c>
      <c r="N5" s="6" t="s">
        <v>980</v>
      </c>
      <c r="O5" s="6" t="s">
        <v>981</v>
      </c>
      <c r="P5" s="6" t="s">
        <v>982</v>
      </c>
      <c r="Q5" s="6" t="s">
        <v>983</v>
      </c>
      <c r="R5" s="6" t="s">
        <v>984</v>
      </c>
      <c r="S5" s="6" t="s">
        <v>985</v>
      </c>
      <c r="T5" s="6" t="s">
        <v>986</v>
      </c>
      <c r="U5" s="6" t="s">
        <v>987</v>
      </c>
      <c r="V5" s="6" t="s">
        <v>988</v>
      </c>
    </row>
    <row r="6" spans="1:22" x14ac:dyDescent="0.5">
      <c r="A6" s="6" t="s">
        <v>18</v>
      </c>
      <c r="B6" s="6" t="s">
        <v>19</v>
      </c>
      <c r="C6" s="6" t="s">
        <v>1468</v>
      </c>
      <c r="D6" s="6" t="s">
        <v>21</v>
      </c>
      <c r="E6" s="6" t="s">
        <v>989</v>
      </c>
      <c r="F6" s="6" t="s">
        <v>990</v>
      </c>
      <c r="G6" s="139" t="s">
        <v>1464</v>
      </c>
      <c r="H6" s="6" t="s">
        <v>992</v>
      </c>
      <c r="I6" s="6" t="s">
        <v>19</v>
      </c>
      <c r="J6" s="6" t="s">
        <v>993</v>
      </c>
      <c r="K6" s="6" t="s">
        <v>21</v>
      </c>
      <c r="L6" s="6" t="s">
        <v>994</v>
      </c>
      <c r="M6" s="6" t="s">
        <v>995</v>
      </c>
      <c r="N6" s="6" t="s">
        <v>996</v>
      </c>
      <c r="O6" s="6" t="s">
        <v>995</v>
      </c>
      <c r="P6" s="6" t="s">
        <v>997</v>
      </c>
      <c r="Q6" s="6" t="s">
        <v>997</v>
      </c>
      <c r="R6" s="6" t="s">
        <v>998</v>
      </c>
      <c r="S6" s="6" t="s">
        <v>999</v>
      </c>
      <c r="T6" s="6" t="s">
        <v>999</v>
      </c>
      <c r="V6" s="6" t="s">
        <v>1000</v>
      </c>
    </row>
    <row r="7" spans="1:22" x14ac:dyDescent="0.5">
      <c r="A7" s="6" t="s">
        <v>25</v>
      </c>
      <c r="B7" s="6" t="s">
        <v>27</v>
      </c>
      <c r="C7" s="6" t="s">
        <v>26</v>
      </c>
      <c r="D7" s="6" t="s">
        <v>29</v>
      </c>
      <c r="E7" s="6" t="s">
        <v>990</v>
      </c>
      <c r="F7" s="6" t="s">
        <v>989</v>
      </c>
      <c r="G7" s="139" t="s">
        <v>991</v>
      </c>
      <c r="H7" s="6" t="s">
        <v>1080</v>
      </c>
      <c r="I7" s="6" t="s">
        <v>1438</v>
      </c>
      <c r="J7" s="6" t="s">
        <v>1002</v>
      </c>
      <c r="K7" s="6" t="s">
        <v>57</v>
      </c>
      <c r="L7" s="6" t="s">
        <v>994</v>
      </c>
      <c r="M7" s="6" t="s">
        <v>1003</v>
      </c>
      <c r="N7" s="6" t="s">
        <v>1004</v>
      </c>
      <c r="O7" s="6" t="s">
        <v>868</v>
      </c>
      <c r="P7" s="6" t="s">
        <v>997</v>
      </c>
      <c r="Q7" s="6" t="s">
        <v>997</v>
      </c>
      <c r="R7" s="6" t="s">
        <v>1314</v>
      </c>
      <c r="S7" s="6" t="s">
        <v>1005</v>
      </c>
      <c r="V7" s="6" t="s">
        <v>1006</v>
      </c>
    </row>
    <row r="8" spans="1:22" x14ac:dyDescent="0.5">
      <c r="A8" s="6" t="s">
        <v>18</v>
      </c>
      <c r="B8" s="6" t="s">
        <v>34</v>
      </c>
      <c r="C8" s="6" t="s">
        <v>33</v>
      </c>
      <c r="D8" s="6" t="s">
        <v>36</v>
      </c>
      <c r="E8" s="6" t="s">
        <v>1452</v>
      </c>
      <c r="F8" s="6" t="s">
        <v>1008</v>
      </c>
      <c r="G8" s="6" t="s">
        <v>1009</v>
      </c>
      <c r="H8" s="6" t="s">
        <v>548</v>
      </c>
      <c r="I8" s="6" t="s">
        <v>34</v>
      </c>
      <c r="J8" s="6" t="s">
        <v>1010</v>
      </c>
      <c r="K8" s="6" t="s">
        <v>36</v>
      </c>
      <c r="L8" s="6" t="s">
        <v>994</v>
      </c>
      <c r="M8" s="6" t="s">
        <v>891</v>
      </c>
      <c r="N8" s="6" t="s">
        <v>996</v>
      </c>
      <c r="O8" s="6" t="s">
        <v>891</v>
      </c>
      <c r="P8" s="6" t="s">
        <v>997</v>
      </c>
      <c r="Q8" s="6" t="s">
        <v>997</v>
      </c>
      <c r="R8" s="6" t="s">
        <v>868</v>
      </c>
      <c r="S8" s="6" t="s">
        <v>1011</v>
      </c>
      <c r="T8" s="6" t="s">
        <v>1011</v>
      </c>
      <c r="V8" s="6" t="s">
        <v>1012</v>
      </c>
    </row>
    <row r="9" spans="1:22" x14ac:dyDescent="0.5">
      <c r="A9" s="6" t="s">
        <v>18</v>
      </c>
      <c r="B9" s="6" t="s">
        <v>41</v>
      </c>
      <c r="C9" s="6" t="s">
        <v>40</v>
      </c>
      <c r="D9" s="6" t="s">
        <v>43</v>
      </c>
      <c r="E9" s="6" t="s">
        <v>1013</v>
      </c>
      <c r="F9" s="6" t="s">
        <v>1014</v>
      </c>
      <c r="G9" s="6" t="s">
        <v>1009</v>
      </c>
      <c r="H9" s="6" t="s">
        <v>1015</v>
      </c>
      <c r="I9" s="6" t="s">
        <v>41</v>
      </c>
      <c r="J9" s="6" t="s">
        <v>1016</v>
      </c>
      <c r="K9" s="6" t="s">
        <v>1017</v>
      </c>
      <c r="L9" s="6" t="s">
        <v>994</v>
      </c>
      <c r="M9" s="6" t="s">
        <v>995</v>
      </c>
      <c r="N9" s="6" t="s">
        <v>996</v>
      </c>
      <c r="O9" s="6" t="s">
        <v>995</v>
      </c>
      <c r="P9" s="6" t="s">
        <v>997</v>
      </c>
      <c r="Q9" s="6" t="s">
        <v>997</v>
      </c>
      <c r="R9" s="6" t="s">
        <v>868</v>
      </c>
      <c r="S9" s="6" t="s">
        <v>1018</v>
      </c>
      <c r="T9" s="6" t="s">
        <v>1018</v>
      </c>
      <c r="V9" s="6" t="s">
        <v>1000</v>
      </c>
    </row>
    <row r="10" spans="1:22" x14ac:dyDescent="0.5">
      <c r="A10" s="6" t="s">
        <v>18</v>
      </c>
      <c r="B10" s="6" t="s">
        <v>48</v>
      </c>
      <c r="C10" s="6" t="s">
        <v>47</v>
      </c>
      <c r="D10" s="6" t="s">
        <v>50</v>
      </c>
      <c r="E10" s="6" t="s">
        <v>1013</v>
      </c>
      <c r="F10" s="6" t="s">
        <v>1007</v>
      </c>
      <c r="G10" s="6" t="s">
        <v>1009</v>
      </c>
      <c r="H10" s="6" t="s">
        <v>1019</v>
      </c>
      <c r="I10" s="6" t="s">
        <v>1020</v>
      </c>
      <c r="J10" s="6" t="s">
        <v>1021</v>
      </c>
      <c r="K10" s="6" t="s">
        <v>1022</v>
      </c>
      <c r="L10" s="6" t="s">
        <v>994</v>
      </c>
      <c r="M10" s="6" t="s">
        <v>891</v>
      </c>
      <c r="N10" s="6" t="s">
        <v>996</v>
      </c>
      <c r="O10" s="6" t="s">
        <v>891</v>
      </c>
      <c r="P10" s="6" t="s">
        <v>997</v>
      </c>
      <c r="Q10" s="6" t="s">
        <v>997</v>
      </c>
      <c r="R10" s="6" t="s">
        <v>868</v>
      </c>
      <c r="S10" s="6" t="s">
        <v>1023</v>
      </c>
      <c r="T10" s="6" t="s">
        <v>1023</v>
      </c>
      <c r="V10" s="6" t="s">
        <v>1000</v>
      </c>
    </row>
    <row r="11" spans="1:22" x14ac:dyDescent="0.5">
      <c r="A11" s="6" t="s">
        <v>25</v>
      </c>
      <c r="B11" s="6" t="s">
        <v>55</v>
      </c>
      <c r="C11" s="6" t="s">
        <v>54</v>
      </c>
      <c r="D11" s="6" t="s">
        <v>57</v>
      </c>
      <c r="E11" s="6" t="s">
        <v>1024</v>
      </c>
      <c r="F11" s="6" t="s">
        <v>989</v>
      </c>
      <c r="G11" s="6" t="s">
        <v>1009</v>
      </c>
      <c r="H11" s="6" t="s">
        <v>1080</v>
      </c>
      <c r="I11" s="6" t="s">
        <v>1438</v>
      </c>
      <c r="J11" s="6" t="s">
        <v>1002</v>
      </c>
      <c r="K11" s="6" t="s">
        <v>57</v>
      </c>
      <c r="L11" s="6" t="s">
        <v>994</v>
      </c>
      <c r="M11" s="6" t="s">
        <v>1003</v>
      </c>
      <c r="N11" s="6" t="s">
        <v>996</v>
      </c>
      <c r="O11" s="6" t="s">
        <v>1003</v>
      </c>
      <c r="P11" s="6" t="s">
        <v>997</v>
      </c>
      <c r="Q11" s="6" t="s">
        <v>997</v>
      </c>
      <c r="R11" s="6" t="s">
        <v>1314</v>
      </c>
      <c r="S11" s="6" t="s">
        <v>1005</v>
      </c>
      <c r="V11" s="6" t="s">
        <v>1025</v>
      </c>
    </row>
    <row r="12" spans="1:22" s="140" customFormat="1" x14ac:dyDescent="0.5">
      <c r="A12" s="6" t="s">
        <v>18</v>
      </c>
      <c r="B12" s="6" t="s">
        <v>61</v>
      </c>
      <c r="C12" s="6" t="s">
        <v>60</v>
      </c>
      <c r="D12" s="6" t="s">
        <v>63</v>
      </c>
      <c r="E12" s="6" t="s">
        <v>1013</v>
      </c>
      <c r="F12" s="6" t="s">
        <v>990</v>
      </c>
      <c r="G12" s="6" t="s">
        <v>1009</v>
      </c>
      <c r="H12" s="6" t="s">
        <v>1026</v>
      </c>
      <c r="I12" s="6" t="s">
        <v>61</v>
      </c>
      <c r="J12" s="6" t="s">
        <v>1027</v>
      </c>
      <c r="K12" s="6" t="s">
        <v>63</v>
      </c>
      <c r="L12" s="6" t="s">
        <v>994</v>
      </c>
      <c r="M12" s="6" t="s">
        <v>891</v>
      </c>
      <c r="N12" s="6" t="s">
        <v>996</v>
      </c>
      <c r="O12" s="6" t="s">
        <v>1003</v>
      </c>
      <c r="P12" s="6" t="s">
        <v>997</v>
      </c>
      <c r="Q12" s="6" t="s">
        <v>997</v>
      </c>
      <c r="R12" s="6"/>
      <c r="S12" s="6" t="s">
        <v>1028</v>
      </c>
      <c r="T12" s="6" t="s">
        <v>1028</v>
      </c>
      <c r="U12" s="6"/>
      <c r="V12" s="6" t="s">
        <v>1000</v>
      </c>
    </row>
    <row r="13" spans="1:22" s="140" customFormat="1" x14ac:dyDescent="0.5">
      <c r="A13" s="6" t="s">
        <v>25</v>
      </c>
      <c r="B13" s="6" t="s">
        <v>68</v>
      </c>
      <c r="C13" s="6" t="s">
        <v>67</v>
      </c>
      <c r="D13" s="6" t="s">
        <v>70</v>
      </c>
      <c r="E13" s="6" t="s">
        <v>1029</v>
      </c>
      <c r="F13" s="6" t="s">
        <v>1030</v>
      </c>
      <c r="G13" s="6" t="s">
        <v>1009</v>
      </c>
      <c r="H13" s="6" t="s">
        <v>1031</v>
      </c>
      <c r="I13" s="6" t="s">
        <v>68</v>
      </c>
      <c r="J13" s="6" t="s">
        <v>1032</v>
      </c>
      <c r="K13" s="6" t="s">
        <v>1033</v>
      </c>
      <c r="L13" s="6" t="s">
        <v>994</v>
      </c>
      <c r="M13" s="6" t="s">
        <v>891</v>
      </c>
      <c r="N13" s="6" t="s">
        <v>996</v>
      </c>
      <c r="O13" s="6" t="s">
        <v>891</v>
      </c>
      <c r="P13" s="6" t="s">
        <v>997</v>
      </c>
      <c r="Q13" s="6" t="s">
        <v>997</v>
      </c>
      <c r="R13" s="6"/>
      <c r="S13" s="6"/>
      <c r="T13" s="6"/>
      <c r="U13" s="6"/>
      <c r="V13" s="6" t="s">
        <v>1025</v>
      </c>
    </row>
    <row r="14" spans="1:22" s="140" customFormat="1" x14ac:dyDescent="0.5">
      <c r="A14" s="6" t="s">
        <v>18</v>
      </c>
      <c r="B14" s="6" t="s">
        <v>76</v>
      </c>
      <c r="C14" s="6" t="s">
        <v>1469</v>
      </c>
      <c r="D14" s="6" t="s">
        <v>78</v>
      </c>
      <c r="E14" s="6" t="s">
        <v>1030</v>
      </c>
      <c r="F14" s="6" t="s">
        <v>1024</v>
      </c>
      <c r="G14" s="6" t="s">
        <v>1009</v>
      </c>
      <c r="H14" s="6" t="s">
        <v>1034</v>
      </c>
      <c r="I14" s="6" t="s">
        <v>76</v>
      </c>
      <c r="J14" s="6" t="s">
        <v>1035</v>
      </c>
      <c r="K14" s="6" t="s">
        <v>1036</v>
      </c>
      <c r="L14" s="6" t="s">
        <v>994</v>
      </c>
      <c r="M14" s="6" t="s">
        <v>891</v>
      </c>
      <c r="N14" s="6" t="s">
        <v>996</v>
      </c>
      <c r="O14" s="6" t="s">
        <v>891</v>
      </c>
      <c r="P14" s="6" t="s">
        <v>997</v>
      </c>
      <c r="Q14" s="6" t="s">
        <v>997</v>
      </c>
      <c r="R14" s="6" t="s">
        <v>868</v>
      </c>
      <c r="S14" s="6"/>
      <c r="T14" s="6"/>
      <c r="U14" s="6"/>
      <c r="V14" s="6" t="s">
        <v>1000</v>
      </c>
    </row>
    <row r="15" spans="1:22" x14ac:dyDescent="0.5">
      <c r="A15" s="6" t="s">
        <v>25</v>
      </c>
      <c r="B15" s="6" t="s">
        <v>76</v>
      </c>
      <c r="C15" s="6" t="s">
        <v>82</v>
      </c>
      <c r="D15" s="6" t="s">
        <v>83</v>
      </c>
      <c r="E15" s="6" t="s">
        <v>1030</v>
      </c>
      <c r="F15" s="6" t="s">
        <v>1007</v>
      </c>
      <c r="G15" s="6" t="s">
        <v>1009</v>
      </c>
      <c r="H15" s="6" t="s">
        <v>438</v>
      </c>
      <c r="I15" s="6" t="s">
        <v>76</v>
      </c>
      <c r="J15" s="6" t="s">
        <v>1035</v>
      </c>
      <c r="K15" s="6" t="s">
        <v>1036</v>
      </c>
      <c r="L15" s="6" t="s">
        <v>994</v>
      </c>
      <c r="M15" s="6" t="s">
        <v>891</v>
      </c>
      <c r="N15" s="6" t="s">
        <v>996</v>
      </c>
      <c r="O15" s="6" t="s">
        <v>891</v>
      </c>
      <c r="P15" s="6" t="s">
        <v>997</v>
      </c>
      <c r="Q15" s="6" t="s">
        <v>1001</v>
      </c>
      <c r="R15" s="6" t="s">
        <v>868</v>
      </c>
      <c r="U15" s="6" t="s">
        <v>1037</v>
      </c>
      <c r="V15" s="6" t="s">
        <v>1000</v>
      </c>
    </row>
    <row r="16" spans="1:22" x14ac:dyDescent="0.5">
      <c r="A16" s="6" t="s">
        <v>25</v>
      </c>
      <c r="B16" s="6" t="s">
        <v>88</v>
      </c>
      <c r="C16" s="6" t="s">
        <v>87</v>
      </c>
      <c r="D16" s="6" t="s">
        <v>90</v>
      </c>
      <c r="E16" s="6" t="s">
        <v>1029</v>
      </c>
      <c r="F16" s="6" t="s">
        <v>1030</v>
      </c>
      <c r="G16" s="6" t="s">
        <v>1009</v>
      </c>
      <c r="H16" s="6" t="s">
        <v>1038</v>
      </c>
      <c r="I16" s="6" t="s">
        <v>88</v>
      </c>
      <c r="J16" s="6" t="s">
        <v>1039</v>
      </c>
      <c r="K16" s="6" t="s">
        <v>90</v>
      </c>
      <c r="L16" s="6" t="s">
        <v>994</v>
      </c>
      <c r="M16" s="6" t="s">
        <v>891</v>
      </c>
      <c r="N16" s="6" t="s">
        <v>996</v>
      </c>
      <c r="O16" s="6" t="s">
        <v>891</v>
      </c>
      <c r="P16" s="6" t="s">
        <v>1001</v>
      </c>
      <c r="Q16" s="6" t="s">
        <v>997</v>
      </c>
      <c r="R16" s="6" t="s">
        <v>1040</v>
      </c>
      <c r="S16" s="6" t="s">
        <v>1041</v>
      </c>
      <c r="T16" s="6" t="s">
        <v>1041</v>
      </c>
      <c r="U16" s="6" t="s">
        <v>868</v>
      </c>
      <c r="V16" s="6" t="s">
        <v>1042</v>
      </c>
    </row>
    <row r="17" spans="1:22" x14ac:dyDescent="0.5">
      <c r="A17" s="6" t="s">
        <v>25</v>
      </c>
      <c r="B17" s="6" t="s">
        <v>95</v>
      </c>
      <c r="C17" s="6" t="s">
        <v>94</v>
      </c>
      <c r="D17" s="6" t="s">
        <v>97</v>
      </c>
      <c r="E17" s="6" t="s">
        <v>1043</v>
      </c>
      <c r="F17" s="6" t="s">
        <v>1013</v>
      </c>
      <c r="G17" s="6" t="s">
        <v>1009</v>
      </c>
      <c r="H17" s="6" t="s">
        <v>1026</v>
      </c>
      <c r="I17" s="6" t="s">
        <v>95</v>
      </c>
      <c r="J17" s="6" t="s">
        <v>1044</v>
      </c>
      <c r="K17" s="6" t="s">
        <v>97</v>
      </c>
      <c r="L17" s="6" t="s">
        <v>994</v>
      </c>
      <c r="M17" s="6" t="s">
        <v>995</v>
      </c>
      <c r="N17" s="6" t="s">
        <v>996</v>
      </c>
      <c r="O17" s="6" t="s">
        <v>995</v>
      </c>
      <c r="P17" s="6" t="s">
        <v>997</v>
      </c>
      <c r="Q17" s="6" t="s">
        <v>997</v>
      </c>
      <c r="R17" s="6" t="s">
        <v>868</v>
      </c>
      <c r="S17" s="6" t="s">
        <v>1041</v>
      </c>
      <c r="T17" s="6" t="s">
        <v>1041</v>
      </c>
      <c r="U17" s="6" t="s">
        <v>868</v>
      </c>
      <c r="V17" s="6" t="s">
        <v>1042</v>
      </c>
    </row>
    <row r="18" spans="1:22" x14ac:dyDescent="0.5">
      <c r="A18" s="6" t="s">
        <v>25</v>
      </c>
      <c r="B18" s="6" t="s">
        <v>102</v>
      </c>
      <c r="C18" s="6" t="s">
        <v>101</v>
      </c>
      <c r="D18" s="6" t="s">
        <v>104</v>
      </c>
      <c r="E18" s="6" t="s">
        <v>1030</v>
      </c>
      <c r="F18" s="6" t="s">
        <v>1014</v>
      </c>
      <c r="G18" s="6" t="s">
        <v>1009</v>
      </c>
      <c r="H18" s="6" t="s">
        <v>1045</v>
      </c>
      <c r="I18" s="6" t="s">
        <v>1046</v>
      </c>
      <c r="J18" s="6" t="s">
        <v>1047</v>
      </c>
      <c r="K18" s="6" t="s">
        <v>104</v>
      </c>
      <c r="L18" s="6" t="s">
        <v>994</v>
      </c>
      <c r="M18" s="6" t="s">
        <v>891</v>
      </c>
      <c r="N18" s="6" t="s">
        <v>1004</v>
      </c>
      <c r="O18" s="6" t="s">
        <v>868</v>
      </c>
      <c r="P18" s="6" t="s">
        <v>997</v>
      </c>
      <c r="Q18" s="6" t="s">
        <v>997</v>
      </c>
      <c r="R18" s="6" t="s">
        <v>868</v>
      </c>
      <c r="S18" s="6" t="s">
        <v>1041</v>
      </c>
      <c r="T18" s="6" t="s">
        <v>1041</v>
      </c>
      <c r="U18" s="6" t="s">
        <v>868</v>
      </c>
      <c r="V18" s="6" t="s">
        <v>1000</v>
      </c>
    </row>
    <row r="19" spans="1:22" x14ac:dyDescent="0.5">
      <c r="A19" s="6" t="s">
        <v>25</v>
      </c>
      <c r="B19" s="6" t="s">
        <v>109</v>
      </c>
      <c r="C19" s="6" t="s">
        <v>108</v>
      </c>
      <c r="D19" s="6" t="s">
        <v>111</v>
      </c>
      <c r="E19" s="6" t="s">
        <v>989</v>
      </c>
      <c r="F19" s="6" t="s">
        <v>1030</v>
      </c>
      <c r="G19" s="6" t="s">
        <v>1009</v>
      </c>
      <c r="H19" s="6" t="s">
        <v>378</v>
      </c>
      <c r="I19" s="6" t="s">
        <v>109</v>
      </c>
      <c r="J19" s="6" t="s">
        <v>1048</v>
      </c>
      <c r="K19" s="6" t="s">
        <v>111</v>
      </c>
      <c r="L19" s="6" t="s">
        <v>994</v>
      </c>
      <c r="M19" s="6" t="s">
        <v>891</v>
      </c>
      <c r="N19" s="6" t="s">
        <v>996</v>
      </c>
      <c r="O19" s="6" t="s">
        <v>891</v>
      </c>
      <c r="P19" s="6" t="s">
        <v>997</v>
      </c>
      <c r="Q19" s="6" t="s">
        <v>997</v>
      </c>
      <c r="R19" s="6" t="s">
        <v>868</v>
      </c>
      <c r="S19" s="6" t="s">
        <v>1023</v>
      </c>
      <c r="T19" s="6" t="s">
        <v>1023</v>
      </c>
      <c r="U19" s="6" t="s">
        <v>868</v>
      </c>
      <c r="V19" s="6" t="s">
        <v>1006</v>
      </c>
    </row>
    <row r="20" spans="1:22" x14ac:dyDescent="0.5">
      <c r="A20" s="6" t="s">
        <v>18</v>
      </c>
      <c r="B20" s="6" t="s">
        <v>116</v>
      </c>
      <c r="C20" s="6" t="s">
        <v>115</v>
      </c>
      <c r="D20" s="6" t="s">
        <v>118</v>
      </c>
      <c r="E20" s="6" t="s">
        <v>1008</v>
      </c>
      <c r="F20" s="6" t="s">
        <v>1007</v>
      </c>
      <c r="G20" s="6" t="s">
        <v>1009</v>
      </c>
      <c r="H20" s="6" t="s">
        <v>1049</v>
      </c>
      <c r="I20" s="6" t="s">
        <v>116</v>
      </c>
      <c r="J20" s="6" t="s">
        <v>1050</v>
      </c>
      <c r="K20" s="6" t="s">
        <v>1051</v>
      </c>
      <c r="L20" s="6" t="s">
        <v>994</v>
      </c>
      <c r="M20" s="6" t="s">
        <v>891</v>
      </c>
      <c r="N20" s="6" t="s">
        <v>996</v>
      </c>
      <c r="O20" s="6" t="s">
        <v>891</v>
      </c>
      <c r="P20" s="6" t="s">
        <v>997</v>
      </c>
      <c r="Q20" s="6" t="s">
        <v>1001</v>
      </c>
      <c r="R20" s="6" t="s">
        <v>868</v>
      </c>
      <c r="S20" s="6" t="s">
        <v>1041</v>
      </c>
      <c r="T20" s="6" t="s">
        <v>1041</v>
      </c>
      <c r="U20" s="6" t="s">
        <v>1052</v>
      </c>
      <c r="V20" s="6" t="s">
        <v>1000</v>
      </c>
    </row>
    <row r="21" spans="1:22" x14ac:dyDescent="0.5">
      <c r="A21" s="6" t="s">
        <v>25</v>
      </c>
      <c r="B21" s="6" t="s">
        <v>116</v>
      </c>
      <c r="C21" s="6" t="s">
        <v>122</v>
      </c>
      <c r="D21" s="6" t="s">
        <v>124</v>
      </c>
      <c r="E21" s="6" t="s">
        <v>989</v>
      </c>
      <c r="F21" s="6" t="s">
        <v>1030</v>
      </c>
      <c r="G21" s="6" t="s">
        <v>1009</v>
      </c>
      <c r="H21" s="6" t="s">
        <v>1053</v>
      </c>
      <c r="I21" s="6" t="s">
        <v>1054</v>
      </c>
      <c r="J21" s="6" t="s">
        <v>1055</v>
      </c>
      <c r="K21" s="6" t="s">
        <v>124</v>
      </c>
      <c r="L21" s="6" t="s">
        <v>994</v>
      </c>
      <c r="M21" s="6" t="s">
        <v>995</v>
      </c>
      <c r="N21" s="6" t="s">
        <v>996</v>
      </c>
      <c r="O21" s="6" t="s">
        <v>995</v>
      </c>
      <c r="P21" s="6" t="s">
        <v>1001</v>
      </c>
      <c r="Q21" s="6" t="s">
        <v>997</v>
      </c>
      <c r="S21" s="6" t="s">
        <v>1056</v>
      </c>
      <c r="T21" s="6" t="s">
        <v>1057</v>
      </c>
      <c r="U21" s="6" t="s">
        <v>1058</v>
      </c>
      <c r="V21" s="6" t="s">
        <v>1006</v>
      </c>
    </row>
    <row r="22" spans="1:22" x14ac:dyDescent="0.5">
      <c r="A22" s="6" t="s">
        <v>25</v>
      </c>
      <c r="B22" s="6" t="s">
        <v>116</v>
      </c>
      <c r="C22" s="6" t="s">
        <v>128</v>
      </c>
      <c r="D22" s="6" t="s">
        <v>124</v>
      </c>
      <c r="E22" s="6" t="s">
        <v>989</v>
      </c>
      <c r="F22" s="6" t="s">
        <v>1030</v>
      </c>
      <c r="G22" s="139" t="s">
        <v>1481</v>
      </c>
      <c r="H22" s="6" t="s">
        <v>398</v>
      </c>
      <c r="I22" s="6" t="s">
        <v>1054</v>
      </c>
      <c r="J22" s="6" t="s">
        <v>1055</v>
      </c>
      <c r="K22" s="6" t="s">
        <v>124</v>
      </c>
      <c r="L22" s="6" t="s">
        <v>994</v>
      </c>
      <c r="M22" s="6" t="s">
        <v>995</v>
      </c>
      <c r="N22" s="6" t="s">
        <v>996</v>
      </c>
      <c r="O22" s="6" t="s">
        <v>995</v>
      </c>
      <c r="P22" s="6" t="s">
        <v>1001</v>
      </c>
      <c r="Q22" s="6" t="s">
        <v>997</v>
      </c>
      <c r="R22" s="6" t="s">
        <v>868</v>
      </c>
      <c r="S22" s="6" t="s">
        <v>1060</v>
      </c>
      <c r="T22" s="6" t="s">
        <v>1060</v>
      </c>
      <c r="V22" s="6" t="s">
        <v>1006</v>
      </c>
    </row>
    <row r="23" spans="1:22" x14ac:dyDescent="0.5">
      <c r="A23" s="6" t="s">
        <v>25</v>
      </c>
      <c r="B23" s="6" t="s">
        <v>131</v>
      </c>
      <c r="C23" s="6" t="s">
        <v>1470</v>
      </c>
      <c r="D23" s="6" t="s">
        <v>133</v>
      </c>
      <c r="E23" s="6" t="s">
        <v>1452</v>
      </c>
      <c r="F23" s="6" t="s">
        <v>1008</v>
      </c>
      <c r="G23" s="6" t="s">
        <v>1009</v>
      </c>
      <c r="H23" s="6" t="s">
        <v>1045</v>
      </c>
      <c r="I23" s="6" t="s">
        <v>131</v>
      </c>
      <c r="J23" s="6" t="s">
        <v>1061</v>
      </c>
      <c r="K23" s="6" t="s">
        <v>1062</v>
      </c>
      <c r="L23" s="6" t="s">
        <v>994</v>
      </c>
      <c r="M23" s="6" t="s">
        <v>891</v>
      </c>
      <c r="N23" s="6" t="s">
        <v>996</v>
      </c>
      <c r="O23" s="6" t="s">
        <v>891</v>
      </c>
      <c r="P23" s="6" t="s">
        <v>997</v>
      </c>
      <c r="Q23" s="6" t="s">
        <v>997</v>
      </c>
      <c r="R23" s="6" t="s">
        <v>868</v>
      </c>
      <c r="S23" s="6" t="s">
        <v>1063</v>
      </c>
      <c r="T23" s="6" t="s">
        <v>1063</v>
      </c>
      <c r="U23" s="6" t="s">
        <v>868</v>
      </c>
      <c r="V23" s="6" t="s">
        <v>1064</v>
      </c>
    </row>
    <row r="24" spans="1:22" x14ac:dyDescent="0.5">
      <c r="A24" s="6" t="s">
        <v>25</v>
      </c>
      <c r="B24" s="6" t="s">
        <v>138</v>
      </c>
      <c r="C24" s="6" t="s">
        <v>137</v>
      </c>
      <c r="D24" s="6" t="s">
        <v>140</v>
      </c>
      <c r="E24" s="6" t="s">
        <v>1013</v>
      </c>
      <c r="F24" s="6" t="s">
        <v>1008</v>
      </c>
      <c r="G24" s="6" t="s">
        <v>1009</v>
      </c>
      <c r="H24" s="6" t="s">
        <v>1065</v>
      </c>
      <c r="I24" s="6" t="s">
        <v>138</v>
      </c>
      <c r="J24" s="6" t="s">
        <v>1066</v>
      </c>
      <c r="K24" s="6" t="s">
        <v>1067</v>
      </c>
      <c r="L24" s="6" t="s">
        <v>1068</v>
      </c>
      <c r="M24" s="6" t="s">
        <v>868</v>
      </c>
      <c r="N24" s="6" t="s">
        <v>1004</v>
      </c>
      <c r="O24" s="6" t="s">
        <v>868</v>
      </c>
      <c r="P24" s="6" t="s">
        <v>997</v>
      </c>
      <c r="Q24" s="6" t="s">
        <v>997</v>
      </c>
      <c r="R24" s="6" t="s">
        <v>868</v>
      </c>
      <c r="S24" s="6" t="s">
        <v>1069</v>
      </c>
      <c r="T24" s="6" t="s">
        <v>1070</v>
      </c>
      <c r="U24" s="6" t="s">
        <v>868</v>
      </c>
      <c r="V24" s="6" t="s">
        <v>1000</v>
      </c>
    </row>
    <row r="25" spans="1:22" x14ac:dyDescent="0.5">
      <c r="A25" s="6" t="s">
        <v>18</v>
      </c>
      <c r="B25" s="6" t="s">
        <v>145</v>
      </c>
      <c r="C25" s="6" t="s">
        <v>144</v>
      </c>
      <c r="D25" s="6" t="s">
        <v>147</v>
      </c>
      <c r="E25" s="6" t="s">
        <v>1043</v>
      </c>
      <c r="F25" s="6" t="s">
        <v>1030</v>
      </c>
      <c r="G25" s="6" t="s">
        <v>1009</v>
      </c>
      <c r="H25" s="6" t="s">
        <v>957</v>
      </c>
      <c r="I25" s="6" t="s">
        <v>1071</v>
      </c>
      <c r="J25" s="6" t="s">
        <v>1072</v>
      </c>
      <c r="K25" s="6" t="s">
        <v>147</v>
      </c>
      <c r="L25" s="6" t="s">
        <v>994</v>
      </c>
      <c r="M25" s="6" t="s">
        <v>891</v>
      </c>
      <c r="N25" s="6" t="s">
        <v>996</v>
      </c>
      <c r="O25" s="6" t="s">
        <v>891</v>
      </c>
      <c r="P25" s="6" t="s">
        <v>997</v>
      </c>
      <c r="Q25" s="6" t="s">
        <v>1001</v>
      </c>
      <c r="R25" s="6" t="s">
        <v>868</v>
      </c>
      <c r="S25" s="6" t="s">
        <v>999</v>
      </c>
      <c r="T25" s="6" t="s">
        <v>999</v>
      </c>
      <c r="U25" s="6" t="s">
        <v>868</v>
      </c>
      <c r="V25" s="6" t="s">
        <v>1006</v>
      </c>
    </row>
    <row r="26" spans="1:22" x14ac:dyDescent="0.5">
      <c r="A26" s="6" t="s">
        <v>18</v>
      </c>
      <c r="B26" s="6" t="s">
        <v>145</v>
      </c>
      <c r="C26" s="6" t="s">
        <v>151</v>
      </c>
      <c r="D26" s="6" t="s">
        <v>147</v>
      </c>
      <c r="E26" s="6" t="s">
        <v>1043</v>
      </c>
      <c r="F26" s="6" t="s">
        <v>1030</v>
      </c>
      <c r="G26" s="6" t="s">
        <v>1009</v>
      </c>
      <c r="H26" s="6" t="s">
        <v>957</v>
      </c>
      <c r="I26" s="6" t="s">
        <v>145</v>
      </c>
      <c r="J26" s="6" t="s">
        <v>1072</v>
      </c>
      <c r="K26" s="6" t="s">
        <v>147</v>
      </c>
      <c r="L26" s="6" t="s">
        <v>994</v>
      </c>
      <c r="M26" s="6" t="s">
        <v>891</v>
      </c>
      <c r="N26" s="6" t="s">
        <v>996</v>
      </c>
      <c r="O26" s="6" t="s">
        <v>891</v>
      </c>
      <c r="P26" s="6" t="s">
        <v>997</v>
      </c>
      <c r="Q26" s="6" t="s">
        <v>1001</v>
      </c>
      <c r="R26" s="6" t="s">
        <v>868</v>
      </c>
      <c r="S26" s="6" t="s">
        <v>999</v>
      </c>
      <c r="T26" s="6" t="s">
        <v>999</v>
      </c>
      <c r="U26" s="6" t="s">
        <v>868</v>
      </c>
      <c r="V26" s="6" t="s">
        <v>1006</v>
      </c>
    </row>
    <row r="27" spans="1:22" x14ac:dyDescent="0.5">
      <c r="A27" s="6" t="s">
        <v>18</v>
      </c>
      <c r="B27" s="6" t="s">
        <v>155</v>
      </c>
      <c r="C27" s="6" t="s">
        <v>1471</v>
      </c>
      <c r="D27" s="6" t="s">
        <v>157</v>
      </c>
      <c r="E27" s="6" t="s">
        <v>989</v>
      </c>
      <c r="F27" s="6" t="s">
        <v>1013</v>
      </c>
      <c r="G27" s="6" t="s">
        <v>1009</v>
      </c>
      <c r="H27" s="6" t="s">
        <v>1073</v>
      </c>
      <c r="I27" s="6" t="s">
        <v>1074</v>
      </c>
      <c r="J27" s="6" t="s">
        <v>1075</v>
      </c>
      <c r="K27" s="6" t="s">
        <v>157</v>
      </c>
      <c r="L27" s="6" t="s">
        <v>994</v>
      </c>
      <c r="M27" s="6" t="s">
        <v>995</v>
      </c>
      <c r="N27" s="6" t="s">
        <v>996</v>
      </c>
      <c r="O27" s="6" t="s">
        <v>995</v>
      </c>
      <c r="P27" s="6" t="s">
        <v>997</v>
      </c>
      <c r="Q27" s="6" t="s">
        <v>1001</v>
      </c>
      <c r="R27" s="6" t="s">
        <v>868</v>
      </c>
      <c r="S27" s="6" t="s">
        <v>1023</v>
      </c>
      <c r="T27" s="6" t="s">
        <v>1023</v>
      </c>
      <c r="U27" s="6" t="s">
        <v>868</v>
      </c>
      <c r="V27" s="6" t="s">
        <v>1025</v>
      </c>
    </row>
    <row r="28" spans="1:22" x14ac:dyDescent="0.5">
      <c r="A28" s="6" t="s">
        <v>18</v>
      </c>
      <c r="B28" s="6" t="s">
        <v>162</v>
      </c>
      <c r="C28" s="6" t="s">
        <v>161</v>
      </c>
      <c r="D28" s="6" t="s">
        <v>164</v>
      </c>
      <c r="E28" s="6" t="s">
        <v>1008</v>
      </c>
      <c r="F28" s="6" t="s">
        <v>1030</v>
      </c>
      <c r="G28" s="6" t="s">
        <v>1009</v>
      </c>
      <c r="H28" s="6" t="s">
        <v>1076</v>
      </c>
      <c r="I28" s="6" t="s">
        <v>162</v>
      </c>
      <c r="J28" s="6" t="s">
        <v>1077</v>
      </c>
      <c r="K28" s="6" t="s">
        <v>1078</v>
      </c>
      <c r="L28" s="6" t="s">
        <v>994</v>
      </c>
      <c r="M28" s="6" t="s">
        <v>891</v>
      </c>
      <c r="N28" s="6" t="s">
        <v>996</v>
      </c>
      <c r="O28" s="6" t="s">
        <v>891</v>
      </c>
      <c r="P28" s="6" t="s">
        <v>997</v>
      </c>
      <c r="Q28" s="6" t="s">
        <v>1001</v>
      </c>
      <c r="R28" s="6" t="s">
        <v>868</v>
      </c>
      <c r="S28" s="6" t="s">
        <v>1079</v>
      </c>
      <c r="T28" s="6" t="s">
        <v>1079</v>
      </c>
      <c r="U28" s="6" t="s">
        <v>868</v>
      </c>
      <c r="V28" s="6" t="s">
        <v>1000</v>
      </c>
    </row>
    <row r="29" spans="1:22" x14ac:dyDescent="0.5">
      <c r="A29" s="6" t="s">
        <v>25</v>
      </c>
      <c r="B29" s="6" t="s">
        <v>1473</v>
      </c>
      <c r="C29" s="6" t="s">
        <v>122</v>
      </c>
      <c r="D29" s="6" t="s">
        <v>170</v>
      </c>
      <c r="E29" s="6" t="s">
        <v>989</v>
      </c>
      <c r="F29" s="6" t="s">
        <v>1014</v>
      </c>
      <c r="G29" s="6" t="s">
        <v>1009</v>
      </c>
      <c r="H29" s="6" t="s">
        <v>1080</v>
      </c>
      <c r="I29" s="6" t="s">
        <v>168</v>
      </c>
      <c r="J29" s="6" t="s">
        <v>1081</v>
      </c>
      <c r="K29" s="6" t="s">
        <v>1082</v>
      </c>
      <c r="L29" s="6" t="s">
        <v>994</v>
      </c>
      <c r="M29" s="6" t="s">
        <v>995</v>
      </c>
      <c r="N29" s="6" t="s">
        <v>996</v>
      </c>
      <c r="O29" s="6" t="s">
        <v>995</v>
      </c>
      <c r="P29" s="6" t="s">
        <v>997</v>
      </c>
      <c r="Q29" s="6" t="s">
        <v>997</v>
      </c>
      <c r="R29" s="6" t="s">
        <v>868</v>
      </c>
      <c r="S29" s="6" t="s">
        <v>1011</v>
      </c>
      <c r="T29" s="6" t="s">
        <v>1011</v>
      </c>
      <c r="U29" s="6" t="s">
        <v>868</v>
      </c>
      <c r="V29" s="6" t="s">
        <v>1000</v>
      </c>
    </row>
    <row r="30" spans="1:22" x14ac:dyDescent="0.5">
      <c r="A30" s="6" t="s">
        <v>18</v>
      </c>
      <c r="B30" s="6" t="s">
        <v>175</v>
      </c>
      <c r="C30" s="6" t="s">
        <v>174</v>
      </c>
      <c r="D30" s="6" t="s">
        <v>177</v>
      </c>
      <c r="E30" s="6" t="s">
        <v>990</v>
      </c>
      <c r="F30" s="6" t="s">
        <v>1030</v>
      </c>
      <c r="G30" s="6" t="s">
        <v>1009</v>
      </c>
      <c r="H30" s="6" t="s">
        <v>1083</v>
      </c>
      <c r="I30" s="6" t="s">
        <v>175</v>
      </c>
      <c r="J30" s="6" t="s">
        <v>1084</v>
      </c>
      <c r="K30" s="6" t="s">
        <v>1085</v>
      </c>
      <c r="L30" s="6" t="s">
        <v>1068</v>
      </c>
      <c r="N30" s="6" t="s">
        <v>1004</v>
      </c>
      <c r="P30" s="6" t="s">
        <v>1001</v>
      </c>
      <c r="Q30" s="6" t="s">
        <v>997</v>
      </c>
      <c r="R30" s="6" t="s">
        <v>868</v>
      </c>
      <c r="S30" s="6" t="s">
        <v>1070</v>
      </c>
      <c r="T30" s="6" t="s">
        <v>1070</v>
      </c>
      <c r="U30" s="6" t="s">
        <v>868</v>
      </c>
      <c r="V30" s="6" t="s">
        <v>1006</v>
      </c>
    </row>
    <row r="31" spans="1:22" x14ac:dyDescent="0.5">
      <c r="A31" s="6" t="s">
        <v>18</v>
      </c>
      <c r="B31" s="6" t="s">
        <v>182</v>
      </c>
      <c r="C31" s="6" t="s">
        <v>181</v>
      </c>
      <c r="D31" s="6" t="s">
        <v>184</v>
      </c>
      <c r="E31" s="6" t="s">
        <v>1024</v>
      </c>
      <c r="F31" s="6" t="s">
        <v>989</v>
      </c>
      <c r="G31" s="6" t="s">
        <v>1009</v>
      </c>
      <c r="H31" s="6" t="s">
        <v>1080</v>
      </c>
      <c r="I31" s="6" t="s">
        <v>182</v>
      </c>
      <c r="J31" s="6" t="s">
        <v>1086</v>
      </c>
      <c r="K31" s="6" t="s">
        <v>1087</v>
      </c>
      <c r="L31" s="6" t="s">
        <v>1068</v>
      </c>
      <c r="M31" s="6" t="s">
        <v>868</v>
      </c>
      <c r="N31" s="6" t="s">
        <v>1004</v>
      </c>
      <c r="O31" s="6" t="s">
        <v>868</v>
      </c>
      <c r="P31" s="6" t="s">
        <v>997</v>
      </c>
      <c r="Q31" s="6" t="s">
        <v>997</v>
      </c>
      <c r="R31" s="6" t="s">
        <v>868</v>
      </c>
      <c r="S31" s="6" t="s">
        <v>1041</v>
      </c>
      <c r="T31" s="6" t="s">
        <v>1041</v>
      </c>
      <c r="U31" s="6" t="s">
        <v>868</v>
      </c>
      <c r="V31" s="6" t="s">
        <v>1000</v>
      </c>
    </row>
    <row r="32" spans="1:22" x14ac:dyDescent="0.5">
      <c r="A32" s="6" t="s">
        <v>25</v>
      </c>
      <c r="B32" s="6" t="s">
        <v>1182</v>
      </c>
      <c r="C32" s="6" t="s">
        <v>408</v>
      </c>
      <c r="D32" s="6" t="s">
        <v>410</v>
      </c>
      <c r="E32" s="6" t="s">
        <v>989</v>
      </c>
      <c r="F32" s="6" t="s">
        <v>989</v>
      </c>
      <c r="G32" s="6" t="s">
        <v>1009</v>
      </c>
      <c r="H32" s="6" t="s">
        <v>1182</v>
      </c>
      <c r="I32" s="6" t="s">
        <v>408</v>
      </c>
      <c r="J32" s="6" t="s">
        <v>1183</v>
      </c>
      <c r="K32" s="6" t="s">
        <v>1184</v>
      </c>
      <c r="L32" s="6" t="s">
        <v>994</v>
      </c>
      <c r="M32" s="6" t="s">
        <v>891</v>
      </c>
      <c r="N32" s="6" t="s">
        <v>996</v>
      </c>
      <c r="O32" s="6" t="s">
        <v>891</v>
      </c>
      <c r="P32" s="6" t="s">
        <v>997</v>
      </c>
      <c r="Q32" s="6" t="s">
        <v>997</v>
      </c>
      <c r="R32" s="6" t="s">
        <v>1314</v>
      </c>
      <c r="V32" s="6" t="s">
        <v>1000</v>
      </c>
    </row>
    <row r="33" spans="1:22" x14ac:dyDescent="0.5">
      <c r="A33" s="6" t="s">
        <v>18</v>
      </c>
      <c r="B33" s="6" t="s">
        <v>189</v>
      </c>
      <c r="C33" s="6" t="s">
        <v>188</v>
      </c>
      <c r="D33" s="6" t="s">
        <v>191</v>
      </c>
      <c r="E33" s="6" t="s">
        <v>1024</v>
      </c>
      <c r="F33" s="6" t="s">
        <v>1008</v>
      </c>
      <c r="G33" s="6" t="s">
        <v>1009</v>
      </c>
      <c r="H33" s="6" t="s">
        <v>1088</v>
      </c>
      <c r="I33" s="6" t="s">
        <v>1089</v>
      </c>
      <c r="J33" s="6" t="s">
        <v>1090</v>
      </c>
      <c r="K33" s="6" t="s">
        <v>1091</v>
      </c>
      <c r="L33" s="6" t="s">
        <v>994</v>
      </c>
      <c r="M33" s="6" t="s">
        <v>891</v>
      </c>
      <c r="N33" s="6" t="s">
        <v>996</v>
      </c>
      <c r="O33" s="6" t="s">
        <v>891</v>
      </c>
      <c r="P33" s="6" t="s">
        <v>1001</v>
      </c>
      <c r="Q33" s="6" t="s">
        <v>1001</v>
      </c>
      <c r="R33" s="6" t="s">
        <v>868</v>
      </c>
      <c r="S33" s="6" t="s">
        <v>1092</v>
      </c>
      <c r="T33" s="6" t="s">
        <v>1011</v>
      </c>
      <c r="U33" s="6" t="s">
        <v>868</v>
      </c>
      <c r="V33" s="6" t="s">
        <v>1000</v>
      </c>
    </row>
    <row r="34" spans="1:22" x14ac:dyDescent="0.5">
      <c r="A34" s="6" t="s">
        <v>25</v>
      </c>
      <c r="B34" s="6" t="s">
        <v>196</v>
      </c>
      <c r="C34" s="6" t="s">
        <v>195</v>
      </c>
      <c r="D34" s="6" t="s">
        <v>198</v>
      </c>
      <c r="E34" s="6" t="s">
        <v>1024</v>
      </c>
      <c r="F34" s="6" t="s">
        <v>1013</v>
      </c>
      <c r="G34" s="6" t="s">
        <v>1009</v>
      </c>
      <c r="H34" s="6" t="s">
        <v>82</v>
      </c>
      <c r="I34" s="6" t="s">
        <v>196</v>
      </c>
      <c r="J34" s="6" t="s">
        <v>1093</v>
      </c>
      <c r="K34" s="6" t="s">
        <v>1094</v>
      </c>
      <c r="L34" s="6" t="s">
        <v>994</v>
      </c>
      <c r="M34" s="6" t="s">
        <v>1095</v>
      </c>
      <c r="N34" s="6" t="s">
        <v>996</v>
      </c>
      <c r="O34" s="6" t="s">
        <v>1095</v>
      </c>
      <c r="P34" s="6" t="s">
        <v>997</v>
      </c>
      <c r="Q34" s="6" t="s">
        <v>997</v>
      </c>
      <c r="R34" s="6" t="s">
        <v>868</v>
      </c>
      <c r="S34" s="6" t="s">
        <v>1096</v>
      </c>
      <c r="T34" s="6" t="s">
        <v>1096</v>
      </c>
      <c r="V34" s="6" t="s">
        <v>1006</v>
      </c>
    </row>
    <row r="35" spans="1:22" x14ac:dyDescent="0.5">
      <c r="A35" s="6" t="s">
        <v>25</v>
      </c>
      <c r="B35" s="6" t="s">
        <v>203</v>
      </c>
      <c r="C35" s="6" t="s">
        <v>202</v>
      </c>
      <c r="D35" s="6" t="s">
        <v>205</v>
      </c>
      <c r="E35" s="6" t="s">
        <v>989</v>
      </c>
      <c r="F35" s="6" t="s">
        <v>1013</v>
      </c>
      <c r="G35" s="6" t="s">
        <v>1009</v>
      </c>
      <c r="H35" s="6" t="s">
        <v>1097</v>
      </c>
      <c r="I35" s="6" t="s">
        <v>203</v>
      </c>
      <c r="J35" s="6" t="s">
        <v>1098</v>
      </c>
      <c r="K35" s="6" t="s">
        <v>1099</v>
      </c>
      <c r="L35" s="6" t="s">
        <v>1068</v>
      </c>
      <c r="M35" s="6" t="s">
        <v>868</v>
      </c>
      <c r="N35" s="6" t="s">
        <v>1004</v>
      </c>
      <c r="O35" s="6" t="s">
        <v>868</v>
      </c>
      <c r="P35" s="6" t="s">
        <v>997</v>
      </c>
      <c r="Q35" s="6" t="s">
        <v>997</v>
      </c>
      <c r="R35" s="6" t="s">
        <v>868</v>
      </c>
      <c r="S35" s="6" t="s">
        <v>1011</v>
      </c>
      <c r="T35" s="6" t="s">
        <v>1011</v>
      </c>
      <c r="V35" s="6" t="s">
        <v>1000</v>
      </c>
    </row>
    <row r="36" spans="1:22" x14ac:dyDescent="0.5">
      <c r="A36" s="6" t="s">
        <v>25</v>
      </c>
      <c r="B36" s="6" t="s">
        <v>211</v>
      </c>
      <c r="C36" s="6" t="s">
        <v>210</v>
      </c>
      <c r="D36" s="6" t="s">
        <v>213</v>
      </c>
      <c r="E36" s="6" t="s">
        <v>989</v>
      </c>
      <c r="F36" s="6" t="s">
        <v>1013</v>
      </c>
      <c r="G36" s="6" t="s">
        <v>1009</v>
      </c>
      <c r="H36" s="6" t="s">
        <v>1100</v>
      </c>
      <c r="I36" s="6" t="s">
        <v>211</v>
      </c>
      <c r="J36" s="6" t="s">
        <v>1101</v>
      </c>
      <c r="K36" s="6" t="s">
        <v>1102</v>
      </c>
      <c r="L36" s="6" t="s">
        <v>994</v>
      </c>
      <c r="M36" s="6" t="s">
        <v>995</v>
      </c>
      <c r="N36" s="6" t="s">
        <v>996</v>
      </c>
      <c r="O36" s="6" t="s">
        <v>995</v>
      </c>
      <c r="P36" s="6" t="s">
        <v>997</v>
      </c>
      <c r="Q36" s="6" t="s">
        <v>997</v>
      </c>
      <c r="R36" s="6" t="s">
        <v>868</v>
      </c>
      <c r="S36" s="6" t="s">
        <v>1041</v>
      </c>
      <c r="T36" s="6" t="s">
        <v>1041</v>
      </c>
      <c r="V36" s="6" t="s">
        <v>1000</v>
      </c>
    </row>
    <row r="37" spans="1:22" x14ac:dyDescent="0.5">
      <c r="A37" s="6" t="s">
        <v>25</v>
      </c>
      <c r="B37" s="6" t="s">
        <v>218</v>
      </c>
      <c r="C37" s="6" t="s">
        <v>217</v>
      </c>
      <c r="D37" s="6" t="s">
        <v>220</v>
      </c>
      <c r="E37" s="6" t="s">
        <v>989</v>
      </c>
      <c r="F37" s="6" t="s">
        <v>1029</v>
      </c>
      <c r="G37" s="6" t="s">
        <v>1009</v>
      </c>
      <c r="H37" s="6" t="s">
        <v>1103</v>
      </c>
      <c r="I37" s="6" t="s">
        <v>218</v>
      </c>
      <c r="J37" s="6" t="s">
        <v>1104</v>
      </c>
      <c r="K37" s="6" t="s">
        <v>1105</v>
      </c>
      <c r="L37" s="6" t="s">
        <v>994</v>
      </c>
      <c r="M37" s="6" t="s">
        <v>891</v>
      </c>
      <c r="N37" s="6" t="s">
        <v>996</v>
      </c>
      <c r="O37" s="6" t="s">
        <v>891</v>
      </c>
      <c r="P37" s="6" t="s">
        <v>997</v>
      </c>
      <c r="Q37" s="6" t="s">
        <v>997</v>
      </c>
      <c r="R37" s="6" t="s">
        <v>868</v>
      </c>
      <c r="S37" s="6" t="s">
        <v>1041</v>
      </c>
      <c r="T37" s="6" t="s">
        <v>1041</v>
      </c>
      <c r="V37" s="6" t="s">
        <v>1006</v>
      </c>
    </row>
    <row r="38" spans="1:22" x14ac:dyDescent="0.5">
      <c r="A38" s="6" t="s">
        <v>25</v>
      </c>
      <c r="B38" s="6" t="s">
        <v>225</v>
      </c>
      <c r="C38" s="6" t="s">
        <v>224</v>
      </c>
      <c r="D38" s="6" t="s">
        <v>227</v>
      </c>
      <c r="E38" s="6" t="s">
        <v>990</v>
      </c>
      <c r="F38" s="6" t="s">
        <v>989</v>
      </c>
      <c r="G38" s="6" t="s">
        <v>1009</v>
      </c>
      <c r="H38" s="6" t="s">
        <v>1106</v>
      </c>
      <c r="I38" s="6" t="s">
        <v>1107</v>
      </c>
      <c r="J38" s="6" t="s">
        <v>1108</v>
      </c>
      <c r="K38" s="6" t="s">
        <v>1109</v>
      </c>
      <c r="L38" s="6" t="s">
        <v>994</v>
      </c>
      <c r="M38" s="6" t="s">
        <v>1003</v>
      </c>
      <c r="N38" s="6" t="s">
        <v>996</v>
      </c>
      <c r="O38" s="6" t="s">
        <v>1003</v>
      </c>
      <c r="P38" s="6" t="s">
        <v>997</v>
      </c>
      <c r="Q38" s="6" t="s">
        <v>1001</v>
      </c>
      <c r="R38" s="6" t="s">
        <v>1110</v>
      </c>
      <c r="S38" s="6" t="s">
        <v>1111</v>
      </c>
      <c r="T38" s="6" t="s">
        <v>1005</v>
      </c>
      <c r="V38" s="6" t="s">
        <v>1006</v>
      </c>
    </row>
    <row r="39" spans="1:22" x14ac:dyDescent="0.5">
      <c r="A39" s="6" t="s">
        <v>18</v>
      </c>
      <c r="B39" s="6" t="s">
        <v>232</v>
      </c>
      <c r="C39" s="6" t="s">
        <v>238</v>
      </c>
      <c r="D39" s="6" t="s">
        <v>234</v>
      </c>
      <c r="E39" s="6" t="s">
        <v>1008</v>
      </c>
      <c r="F39" s="6" t="s">
        <v>1030</v>
      </c>
      <c r="G39" s="6" t="s">
        <v>1009</v>
      </c>
      <c r="H39" s="6" t="s">
        <v>1114</v>
      </c>
      <c r="I39" s="6" t="s">
        <v>232</v>
      </c>
      <c r="J39" s="6" t="s">
        <v>1115</v>
      </c>
      <c r="K39" s="6" t="s">
        <v>234</v>
      </c>
      <c r="L39" s="6" t="s">
        <v>994</v>
      </c>
      <c r="M39" s="6" t="s">
        <v>891</v>
      </c>
      <c r="N39" s="6" t="s">
        <v>996</v>
      </c>
      <c r="O39" s="6" t="s">
        <v>891</v>
      </c>
      <c r="P39" s="6" t="s">
        <v>997</v>
      </c>
      <c r="Q39" s="6" t="s">
        <v>997</v>
      </c>
      <c r="R39" s="6" t="s">
        <v>868</v>
      </c>
      <c r="S39" s="6" t="s">
        <v>1011</v>
      </c>
      <c r="T39" s="6" t="s">
        <v>1011</v>
      </c>
      <c r="U39" s="6" t="s">
        <v>868</v>
      </c>
      <c r="V39" s="6" t="s">
        <v>1000</v>
      </c>
    </row>
    <row r="40" spans="1:22" x14ac:dyDescent="0.5">
      <c r="A40" s="6" t="s">
        <v>25</v>
      </c>
      <c r="B40" s="6" t="s">
        <v>232</v>
      </c>
      <c r="C40" s="6" t="s">
        <v>231</v>
      </c>
      <c r="D40" s="6" t="s">
        <v>234</v>
      </c>
      <c r="E40" s="6" t="s">
        <v>989</v>
      </c>
      <c r="F40" s="6" t="s">
        <v>990</v>
      </c>
      <c r="G40" s="6" t="s">
        <v>1009</v>
      </c>
      <c r="H40" s="6" t="s">
        <v>1112</v>
      </c>
      <c r="I40" s="6" t="s">
        <v>232</v>
      </c>
      <c r="J40" s="6" t="s">
        <v>1113</v>
      </c>
      <c r="K40" s="6" t="s">
        <v>234</v>
      </c>
      <c r="L40" s="6" t="s">
        <v>994</v>
      </c>
      <c r="M40" s="6" t="s">
        <v>891</v>
      </c>
      <c r="N40" s="6" t="s">
        <v>1004</v>
      </c>
      <c r="O40" s="6" t="s">
        <v>868</v>
      </c>
      <c r="P40" s="6" t="s">
        <v>997</v>
      </c>
      <c r="Q40" s="6" t="s">
        <v>997</v>
      </c>
      <c r="R40" s="6" t="s">
        <v>868</v>
      </c>
      <c r="S40" s="6" t="s">
        <v>1011</v>
      </c>
      <c r="T40" s="6" t="s">
        <v>1011</v>
      </c>
      <c r="V40" s="6" t="s">
        <v>1000</v>
      </c>
    </row>
    <row r="41" spans="1:22" x14ac:dyDescent="0.5">
      <c r="A41" s="6" t="s">
        <v>18</v>
      </c>
      <c r="B41" s="6" t="s">
        <v>243</v>
      </c>
      <c r="C41" s="6" t="s">
        <v>242</v>
      </c>
      <c r="D41" s="6" t="s">
        <v>245</v>
      </c>
      <c r="E41" s="6" t="s">
        <v>990</v>
      </c>
      <c r="F41" s="6" t="s">
        <v>1014</v>
      </c>
      <c r="G41" s="6" t="s">
        <v>1009</v>
      </c>
      <c r="H41" s="6" t="s">
        <v>1116</v>
      </c>
      <c r="I41" s="6" t="s">
        <v>243</v>
      </c>
      <c r="J41" s="6" t="s">
        <v>1117</v>
      </c>
      <c r="K41" s="6" t="s">
        <v>245</v>
      </c>
      <c r="L41" s="6" t="s">
        <v>994</v>
      </c>
      <c r="M41" s="6" t="s">
        <v>1003</v>
      </c>
      <c r="N41" s="6" t="s">
        <v>1004</v>
      </c>
      <c r="O41" s="6" t="s">
        <v>868</v>
      </c>
      <c r="P41" s="6" t="s">
        <v>997</v>
      </c>
      <c r="Q41" s="6" t="s">
        <v>997</v>
      </c>
      <c r="R41" s="6" t="s">
        <v>868</v>
      </c>
      <c r="S41" s="6" t="s">
        <v>1118</v>
      </c>
      <c r="T41" s="6" t="s">
        <v>1118</v>
      </c>
      <c r="U41" s="6" t="s">
        <v>868</v>
      </c>
      <c r="V41" s="6" t="s">
        <v>1006</v>
      </c>
    </row>
    <row r="42" spans="1:22" x14ac:dyDescent="0.5">
      <c r="A42" s="6" t="s">
        <v>18</v>
      </c>
      <c r="B42" s="6" t="s">
        <v>250</v>
      </c>
      <c r="C42" s="6" t="s">
        <v>249</v>
      </c>
      <c r="D42" s="6" t="s">
        <v>252</v>
      </c>
      <c r="E42" s="6" t="s">
        <v>1452</v>
      </c>
      <c r="F42" s="6" t="s">
        <v>1024</v>
      </c>
      <c r="G42" s="6" t="s">
        <v>1009</v>
      </c>
      <c r="H42" s="6" t="s">
        <v>1119</v>
      </c>
      <c r="I42" s="6" t="s">
        <v>1120</v>
      </c>
      <c r="J42" s="6" t="s">
        <v>1121</v>
      </c>
      <c r="K42" s="6" t="s">
        <v>1122</v>
      </c>
      <c r="L42" s="6" t="s">
        <v>994</v>
      </c>
      <c r="M42" s="6" t="s">
        <v>1003</v>
      </c>
      <c r="N42" s="6" t="s">
        <v>996</v>
      </c>
      <c r="O42" s="6" t="s">
        <v>1003</v>
      </c>
      <c r="P42" s="6" t="s">
        <v>997</v>
      </c>
      <c r="Q42" s="6" t="s">
        <v>997</v>
      </c>
      <c r="R42" s="6" t="s">
        <v>868</v>
      </c>
      <c r="S42" s="6" t="s">
        <v>1028</v>
      </c>
      <c r="T42" s="6" t="s">
        <v>1028</v>
      </c>
      <c r="U42" s="6" t="s">
        <v>868</v>
      </c>
      <c r="V42" s="6" t="s">
        <v>1006</v>
      </c>
    </row>
    <row r="43" spans="1:22" x14ac:dyDescent="0.5">
      <c r="A43" s="6" t="s">
        <v>25</v>
      </c>
      <c r="B43" s="6" t="s">
        <v>257</v>
      </c>
      <c r="C43" s="6" t="s">
        <v>256</v>
      </c>
      <c r="D43" s="6" t="s">
        <v>259</v>
      </c>
      <c r="E43" s="6" t="s">
        <v>1043</v>
      </c>
      <c r="F43" s="6" t="s">
        <v>1013</v>
      </c>
      <c r="G43" s="6" t="s">
        <v>1009</v>
      </c>
      <c r="H43" s="6" t="s">
        <v>1123</v>
      </c>
      <c r="I43" s="6" t="s">
        <v>257</v>
      </c>
      <c r="J43" s="6" t="s">
        <v>1124</v>
      </c>
      <c r="K43" s="6" t="s">
        <v>259</v>
      </c>
      <c r="L43" s="6" t="s">
        <v>994</v>
      </c>
      <c r="M43" s="6" t="s">
        <v>891</v>
      </c>
      <c r="N43" s="6" t="s">
        <v>1004</v>
      </c>
      <c r="O43" s="6" t="s">
        <v>868</v>
      </c>
      <c r="P43" s="6" t="s">
        <v>997</v>
      </c>
      <c r="Q43" s="6" t="s">
        <v>997</v>
      </c>
      <c r="R43" s="6" t="s">
        <v>868</v>
      </c>
      <c r="S43" s="6" t="s">
        <v>1041</v>
      </c>
      <c r="T43" s="6" t="s">
        <v>1125</v>
      </c>
      <c r="U43" s="6" t="s">
        <v>1126</v>
      </c>
      <c r="V43" s="6" t="s">
        <v>1000</v>
      </c>
    </row>
    <row r="44" spans="1:22" x14ac:dyDescent="0.5">
      <c r="A44" s="6" t="s">
        <v>25</v>
      </c>
      <c r="B44" s="6" t="s">
        <v>264</v>
      </c>
      <c r="C44" s="6" t="s">
        <v>263</v>
      </c>
      <c r="D44" s="6" t="s">
        <v>266</v>
      </c>
      <c r="E44" s="6" t="s">
        <v>1029</v>
      </c>
      <c r="F44" s="6" t="s">
        <v>1007</v>
      </c>
      <c r="G44" s="6" t="s">
        <v>1009</v>
      </c>
      <c r="H44" s="6" t="s">
        <v>263</v>
      </c>
      <c r="I44" s="6" t="s">
        <v>264</v>
      </c>
      <c r="J44" s="6" t="s">
        <v>269</v>
      </c>
      <c r="K44" s="6" t="s">
        <v>266</v>
      </c>
      <c r="L44" s="6" t="s">
        <v>994</v>
      </c>
      <c r="M44" s="6" t="s">
        <v>891</v>
      </c>
      <c r="N44" s="6" t="s">
        <v>996</v>
      </c>
      <c r="O44" s="6" t="s">
        <v>891</v>
      </c>
      <c r="P44" s="6" t="s">
        <v>997</v>
      </c>
      <c r="Q44" s="6" t="s">
        <v>997</v>
      </c>
      <c r="R44" s="6" t="s">
        <v>868</v>
      </c>
      <c r="S44" s="6" t="s">
        <v>1041</v>
      </c>
      <c r="T44" s="6" t="s">
        <v>1041</v>
      </c>
      <c r="U44" s="6" t="s">
        <v>868</v>
      </c>
      <c r="V44" s="6" t="s">
        <v>1042</v>
      </c>
    </row>
    <row r="45" spans="1:22" x14ac:dyDescent="0.5">
      <c r="A45" s="6" t="s">
        <v>25</v>
      </c>
      <c r="B45" s="6" t="s">
        <v>271</v>
      </c>
      <c r="C45" s="6" t="s">
        <v>270</v>
      </c>
      <c r="D45" s="6" t="s">
        <v>273</v>
      </c>
      <c r="E45" s="6" t="s">
        <v>1024</v>
      </c>
      <c r="F45" s="6" t="s">
        <v>1030</v>
      </c>
      <c r="G45" s="6" t="s">
        <v>1009</v>
      </c>
      <c r="H45" s="6" t="s">
        <v>1127</v>
      </c>
      <c r="I45" s="6" t="s">
        <v>271</v>
      </c>
      <c r="J45" s="6" t="s">
        <v>1128</v>
      </c>
      <c r="K45" s="6" t="s">
        <v>273</v>
      </c>
      <c r="L45" s="6" t="s">
        <v>994</v>
      </c>
      <c r="M45" s="6" t="s">
        <v>891</v>
      </c>
      <c r="N45" s="6" t="s">
        <v>1004</v>
      </c>
      <c r="O45" s="6" t="s">
        <v>868</v>
      </c>
      <c r="P45" s="6" t="s">
        <v>997</v>
      </c>
      <c r="Q45" s="6" t="s">
        <v>997</v>
      </c>
      <c r="R45" s="6" t="s">
        <v>868</v>
      </c>
      <c r="S45" s="6" t="s">
        <v>1023</v>
      </c>
      <c r="T45" s="6" t="s">
        <v>1023</v>
      </c>
      <c r="U45" s="6" t="s">
        <v>868</v>
      </c>
      <c r="V45" s="6" t="s">
        <v>1042</v>
      </c>
    </row>
    <row r="46" spans="1:22" x14ac:dyDescent="0.5">
      <c r="A46" s="6" t="s">
        <v>18</v>
      </c>
      <c r="B46" s="6" t="s">
        <v>278</v>
      </c>
      <c r="C46" s="6" t="s">
        <v>277</v>
      </c>
      <c r="D46" s="6" t="s">
        <v>280</v>
      </c>
      <c r="E46" s="6" t="s">
        <v>1013</v>
      </c>
      <c r="F46" s="6" t="s">
        <v>1014</v>
      </c>
      <c r="G46" s="6" t="s">
        <v>1009</v>
      </c>
      <c r="H46" s="6" t="s">
        <v>1129</v>
      </c>
      <c r="I46" s="6" t="s">
        <v>278</v>
      </c>
      <c r="J46" s="6" t="s">
        <v>1130</v>
      </c>
      <c r="K46" s="6" t="s">
        <v>1131</v>
      </c>
      <c r="L46" s="6" t="s">
        <v>994</v>
      </c>
      <c r="M46" s="6" t="s">
        <v>891</v>
      </c>
      <c r="N46" s="6" t="s">
        <v>996</v>
      </c>
      <c r="O46" s="6" t="s">
        <v>891</v>
      </c>
      <c r="P46" s="6" t="s">
        <v>997</v>
      </c>
      <c r="Q46" s="6" t="s">
        <v>997</v>
      </c>
      <c r="R46" s="6" t="s">
        <v>868</v>
      </c>
      <c r="S46" s="6" t="s">
        <v>1023</v>
      </c>
      <c r="T46" s="6" t="s">
        <v>1023</v>
      </c>
      <c r="U46" s="6" t="s">
        <v>868</v>
      </c>
      <c r="V46" s="6" t="s">
        <v>1042</v>
      </c>
    </row>
    <row r="47" spans="1:22" x14ac:dyDescent="0.5">
      <c r="A47" s="6" t="s">
        <v>18</v>
      </c>
      <c r="B47" s="6" t="s">
        <v>278</v>
      </c>
      <c r="C47" s="6" t="s">
        <v>284</v>
      </c>
      <c r="D47" s="6" t="s">
        <v>286</v>
      </c>
      <c r="E47" s="6" t="s">
        <v>1013</v>
      </c>
      <c r="F47" s="6" t="s">
        <v>1014</v>
      </c>
      <c r="G47" s="6" t="s">
        <v>1009</v>
      </c>
      <c r="H47" s="6" t="s">
        <v>1132</v>
      </c>
      <c r="I47" s="6" t="s">
        <v>278</v>
      </c>
      <c r="J47" s="6" t="s">
        <v>1130</v>
      </c>
      <c r="K47" s="6" t="s">
        <v>1131</v>
      </c>
      <c r="L47" s="6" t="s">
        <v>994</v>
      </c>
      <c r="M47" s="6" t="s">
        <v>891</v>
      </c>
      <c r="N47" s="6" t="s">
        <v>1004</v>
      </c>
      <c r="O47" s="6" t="s">
        <v>868</v>
      </c>
      <c r="P47" s="6" t="s">
        <v>997</v>
      </c>
      <c r="Q47" s="6" t="s">
        <v>997</v>
      </c>
      <c r="R47" s="6" t="s">
        <v>868</v>
      </c>
      <c r="S47" s="6" t="s">
        <v>1133</v>
      </c>
      <c r="T47" s="6" t="s">
        <v>1133</v>
      </c>
      <c r="U47" s="6" t="s">
        <v>868</v>
      </c>
      <c r="V47" s="6" t="s">
        <v>1042</v>
      </c>
    </row>
    <row r="48" spans="1:22" x14ac:dyDescent="0.5">
      <c r="A48" s="6" t="s">
        <v>25</v>
      </c>
      <c r="B48" s="6" t="s">
        <v>291</v>
      </c>
      <c r="C48" s="6" t="s">
        <v>290</v>
      </c>
      <c r="D48" s="6" t="s">
        <v>293</v>
      </c>
      <c r="E48" s="6" t="s">
        <v>1452</v>
      </c>
      <c r="F48" s="6" t="s">
        <v>989</v>
      </c>
      <c r="G48" s="6" t="s">
        <v>1009</v>
      </c>
      <c r="H48" s="6" t="s">
        <v>1134</v>
      </c>
      <c r="I48" s="6" t="s">
        <v>291</v>
      </c>
      <c r="J48" s="6" t="s">
        <v>1135</v>
      </c>
      <c r="K48" s="6" t="s">
        <v>293</v>
      </c>
      <c r="L48" s="6" t="s">
        <v>994</v>
      </c>
      <c r="M48" s="6" t="s">
        <v>891</v>
      </c>
      <c r="N48" s="6" t="s">
        <v>996</v>
      </c>
      <c r="O48" s="6" t="s">
        <v>891</v>
      </c>
      <c r="P48" s="6" t="s">
        <v>997</v>
      </c>
      <c r="Q48" s="6" t="s">
        <v>997</v>
      </c>
      <c r="R48" s="6" t="s">
        <v>868</v>
      </c>
      <c r="S48" s="6" t="s">
        <v>1023</v>
      </c>
      <c r="T48" s="6" t="s">
        <v>1023</v>
      </c>
      <c r="V48" s="6" t="s">
        <v>1000</v>
      </c>
    </row>
    <row r="49" spans="1:22" x14ac:dyDescent="0.5">
      <c r="A49" s="6" t="s">
        <v>18</v>
      </c>
      <c r="B49" s="6" t="s">
        <v>298</v>
      </c>
      <c r="C49" s="6" t="s">
        <v>297</v>
      </c>
      <c r="D49" s="6" t="s">
        <v>300</v>
      </c>
      <c r="E49" s="6" t="s">
        <v>1013</v>
      </c>
      <c r="F49" s="6" t="s">
        <v>1030</v>
      </c>
      <c r="G49" s="6" t="s">
        <v>1009</v>
      </c>
      <c r="H49" s="6" t="s">
        <v>1136</v>
      </c>
      <c r="I49" s="6" t="s">
        <v>298</v>
      </c>
      <c r="J49" s="6" t="s">
        <v>1137</v>
      </c>
      <c r="K49" s="6" t="s">
        <v>300</v>
      </c>
      <c r="L49" s="6" t="s">
        <v>994</v>
      </c>
      <c r="M49" s="6" t="s">
        <v>891</v>
      </c>
      <c r="N49" s="6" t="s">
        <v>996</v>
      </c>
      <c r="O49" s="6" t="s">
        <v>891</v>
      </c>
      <c r="P49" s="6" t="s">
        <v>997</v>
      </c>
      <c r="Q49" s="6" t="s">
        <v>997</v>
      </c>
      <c r="R49" s="6" t="s">
        <v>868</v>
      </c>
      <c r="S49" s="6" t="s">
        <v>1138</v>
      </c>
      <c r="T49" s="6" t="s">
        <v>1138</v>
      </c>
      <c r="V49" s="6" t="s">
        <v>1000</v>
      </c>
    </row>
    <row r="50" spans="1:22" x14ac:dyDescent="0.5">
      <c r="A50" s="6" t="s">
        <v>25</v>
      </c>
      <c r="B50" s="6" t="s">
        <v>304</v>
      </c>
      <c r="C50" s="6" t="s">
        <v>303</v>
      </c>
      <c r="D50" s="6" t="s">
        <v>306</v>
      </c>
      <c r="E50" s="6" t="s">
        <v>1024</v>
      </c>
      <c r="F50" s="6" t="s">
        <v>1030</v>
      </c>
      <c r="G50" s="6" t="s">
        <v>1009</v>
      </c>
      <c r="H50" s="6" t="s">
        <v>1139</v>
      </c>
      <c r="I50" s="6" t="s">
        <v>1140</v>
      </c>
      <c r="J50" s="6" t="s">
        <v>1141</v>
      </c>
      <c r="K50" s="6" t="s">
        <v>306</v>
      </c>
      <c r="L50" s="6" t="s">
        <v>994</v>
      </c>
      <c r="M50" s="6" t="s">
        <v>891</v>
      </c>
      <c r="N50" s="6" t="s">
        <v>996</v>
      </c>
      <c r="O50" s="6" t="s">
        <v>891</v>
      </c>
      <c r="P50" s="6" t="s">
        <v>997</v>
      </c>
      <c r="Q50" s="6" t="s">
        <v>997</v>
      </c>
      <c r="R50" s="6" t="s">
        <v>868</v>
      </c>
      <c r="S50" s="6" t="s">
        <v>1011</v>
      </c>
      <c r="T50" s="6" t="s">
        <v>1011</v>
      </c>
      <c r="U50" s="6" t="s">
        <v>1142</v>
      </c>
      <c r="V50" s="6" t="s">
        <v>1000</v>
      </c>
    </row>
    <row r="51" spans="1:22" x14ac:dyDescent="0.5">
      <c r="A51" s="6" t="s">
        <v>25</v>
      </c>
      <c r="B51" s="6" t="s">
        <v>311</v>
      </c>
      <c r="C51" s="6" t="s">
        <v>310</v>
      </c>
      <c r="D51" s="6" t="s">
        <v>313</v>
      </c>
      <c r="E51" s="6" t="s">
        <v>1024</v>
      </c>
      <c r="F51" s="6" t="s">
        <v>1014</v>
      </c>
      <c r="G51" s="6" t="s">
        <v>1009</v>
      </c>
      <c r="H51" s="6" t="s">
        <v>1143</v>
      </c>
      <c r="I51" s="6" t="s">
        <v>311</v>
      </c>
      <c r="J51" s="6" t="s">
        <v>1144</v>
      </c>
      <c r="K51" s="6" t="s">
        <v>313</v>
      </c>
      <c r="L51" s="6" t="s">
        <v>994</v>
      </c>
      <c r="M51" s="6" t="s">
        <v>891</v>
      </c>
      <c r="N51" s="6" t="s">
        <v>996</v>
      </c>
      <c r="O51" s="6" t="s">
        <v>891</v>
      </c>
      <c r="P51" s="6" t="s">
        <v>997</v>
      </c>
      <c r="Q51" s="6" t="s">
        <v>997</v>
      </c>
      <c r="R51" s="6" t="s">
        <v>868</v>
      </c>
      <c r="S51" s="6" t="s">
        <v>1041</v>
      </c>
      <c r="T51" s="6" t="s">
        <v>1041</v>
      </c>
      <c r="V51" s="6" t="s">
        <v>1000</v>
      </c>
    </row>
    <row r="52" spans="1:22" x14ac:dyDescent="0.5">
      <c r="A52" s="6" t="s">
        <v>25</v>
      </c>
      <c r="B52" s="6" t="s">
        <v>318</v>
      </c>
      <c r="C52" s="6" t="s">
        <v>317</v>
      </c>
      <c r="D52" s="6" t="s">
        <v>320</v>
      </c>
      <c r="E52" s="6" t="s">
        <v>1029</v>
      </c>
      <c r="F52" s="6" t="s">
        <v>989</v>
      </c>
      <c r="G52" s="139" t="s">
        <v>991</v>
      </c>
      <c r="H52" s="6" t="s">
        <v>1080</v>
      </c>
      <c r="I52" s="6" t="s">
        <v>1438</v>
      </c>
      <c r="J52" s="6" t="s">
        <v>1002</v>
      </c>
      <c r="K52" s="6" t="s">
        <v>57</v>
      </c>
      <c r="L52" s="6" t="s">
        <v>994</v>
      </c>
      <c r="M52" s="6" t="s">
        <v>1003</v>
      </c>
      <c r="N52" s="6" t="s">
        <v>996</v>
      </c>
      <c r="O52" s="6" t="s">
        <v>1003</v>
      </c>
      <c r="P52" s="6" t="s">
        <v>997</v>
      </c>
      <c r="Q52" s="6" t="s">
        <v>997</v>
      </c>
      <c r="R52" s="6" t="s">
        <v>998</v>
      </c>
      <c r="S52" s="6" t="s">
        <v>1005</v>
      </c>
      <c r="V52" s="6" t="s">
        <v>1006</v>
      </c>
    </row>
    <row r="53" spans="1:22" x14ac:dyDescent="0.5">
      <c r="A53" s="6" t="s">
        <v>18</v>
      </c>
      <c r="B53" s="6" t="s">
        <v>501</v>
      </c>
      <c r="C53" s="6" t="s">
        <v>502</v>
      </c>
      <c r="D53" s="6" t="s">
        <v>504</v>
      </c>
      <c r="E53" s="6" t="s">
        <v>989</v>
      </c>
      <c r="F53" s="6" t="s">
        <v>1030</v>
      </c>
      <c r="G53" s="6" t="s">
        <v>1009</v>
      </c>
      <c r="H53" s="6" t="s">
        <v>501</v>
      </c>
      <c r="I53" s="6" t="s">
        <v>1220</v>
      </c>
      <c r="J53" s="6" t="s">
        <v>1221</v>
      </c>
      <c r="K53" s="6" t="s">
        <v>504</v>
      </c>
      <c r="L53" s="6" t="s">
        <v>994</v>
      </c>
      <c r="M53" s="6" t="s">
        <v>891</v>
      </c>
      <c r="N53" s="6" t="s">
        <v>996</v>
      </c>
      <c r="O53" s="6" t="s">
        <v>891</v>
      </c>
      <c r="P53" s="6" t="s">
        <v>997</v>
      </c>
      <c r="Q53" s="6" t="s">
        <v>997</v>
      </c>
      <c r="R53" s="6" t="s">
        <v>868</v>
      </c>
      <c r="S53" s="6" t="s">
        <v>1156</v>
      </c>
      <c r="T53" s="6" t="s">
        <v>1156</v>
      </c>
      <c r="V53" s="6" t="s">
        <v>1000</v>
      </c>
    </row>
    <row r="54" spans="1:22" x14ac:dyDescent="0.5">
      <c r="A54" s="6" t="s">
        <v>18</v>
      </c>
      <c r="B54" s="6" t="s">
        <v>325</v>
      </c>
      <c r="C54" s="6" t="s">
        <v>324</v>
      </c>
      <c r="D54" s="6" t="s">
        <v>327</v>
      </c>
      <c r="E54" s="6" t="s">
        <v>1024</v>
      </c>
      <c r="F54" s="6" t="s">
        <v>989</v>
      </c>
      <c r="G54" s="6" t="s">
        <v>1009</v>
      </c>
      <c r="H54" s="6" t="s">
        <v>1145</v>
      </c>
      <c r="I54" s="6" t="s">
        <v>1146</v>
      </c>
      <c r="J54" s="6" t="s">
        <v>1147</v>
      </c>
      <c r="K54" s="6" t="s">
        <v>327</v>
      </c>
      <c r="L54" s="6" t="s">
        <v>994</v>
      </c>
      <c r="M54" s="6" t="s">
        <v>1003</v>
      </c>
      <c r="N54" s="6" t="s">
        <v>996</v>
      </c>
      <c r="O54" s="6" t="s">
        <v>1003</v>
      </c>
      <c r="P54" s="6" t="s">
        <v>1001</v>
      </c>
      <c r="Q54" s="6" t="s">
        <v>997</v>
      </c>
      <c r="R54" s="6" t="s">
        <v>868</v>
      </c>
      <c r="S54" s="6" t="s">
        <v>1011</v>
      </c>
      <c r="T54" s="6" t="s">
        <v>1011</v>
      </c>
      <c r="V54" s="6" t="s">
        <v>1006</v>
      </c>
    </row>
    <row r="55" spans="1:22" x14ac:dyDescent="0.5">
      <c r="A55" s="6" t="s">
        <v>18</v>
      </c>
      <c r="B55" s="6" t="s">
        <v>332</v>
      </c>
      <c r="C55" s="6" t="s">
        <v>331</v>
      </c>
      <c r="D55" s="6" t="s">
        <v>334</v>
      </c>
      <c r="E55" s="6" t="s">
        <v>1043</v>
      </c>
      <c r="F55" s="6" t="s">
        <v>1013</v>
      </c>
      <c r="G55" s="6" t="s">
        <v>1009</v>
      </c>
      <c r="H55" s="6" t="s">
        <v>1148</v>
      </c>
      <c r="I55" s="6" t="s">
        <v>332</v>
      </c>
      <c r="J55" s="6" t="s">
        <v>1149</v>
      </c>
      <c r="K55" s="6" t="s">
        <v>1150</v>
      </c>
      <c r="L55" s="6" t="s">
        <v>994</v>
      </c>
      <c r="M55" s="6" t="s">
        <v>891</v>
      </c>
      <c r="N55" s="6" t="s">
        <v>996</v>
      </c>
      <c r="O55" s="6" t="s">
        <v>891</v>
      </c>
      <c r="P55" s="6" t="s">
        <v>997</v>
      </c>
      <c r="Q55" s="6" t="s">
        <v>997</v>
      </c>
      <c r="R55" s="6" t="s">
        <v>868</v>
      </c>
      <c r="S55" s="6" t="s">
        <v>1023</v>
      </c>
      <c r="T55" s="6" t="s">
        <v>1023</v>
      </c>
      <c r="V55" s="6" t="s">
        <v>1006</v>
      </c>
    </row>
    <row r="56" spans="1:22" x14ac:dyDescent="0.5">
      <c r="A56" s="6" t="s">
        <v>18</v>
      </c>
      <c r="B56" s="6" t="s">
        <v>339</v>
      </c>
      <c r="C56" s="6" t="s">
        <v>338</v>
      </c>
      <c r="D56" s="6" t="s">
        <v>341</v>
      </c>
      <c r="E56" s="6" t="s">
        <v>1008</v>
      </c>
      <c r="F56" s="6" t="s">
        <v>1007</v>
      </c>
      <c r="G56" s="6" t="s">
        <v>1009</v>
      </c>
      <c r="H56" s="6" t="s">
        <v>1151</v>
      </c>
      <c r="I56" s="6" t="s">
        <v>339</v>
      </c>
      <c r="J56" s="6" t="s">
        <v>1152</v>
      </c>
      <c r="K56" s="6" t="s">
        <v>341</v>
      </c>
      <c r="L56" s="6" t="s">
        <v>994</v>
      </c>
      <c r="M56" s="6" t="s">
        <v>891</v>
      </c>
      <c r="N56" s="6" t="s">
        <v>996</v>
      </c>
      <c r="O56" s="6" t="s">
        <v>891</v>
      </c>
      <c r="P56" s="6" t="s">
        <v>997</v>
      </c>
      <c r="Q56" s="6" t="s">
        <v>997</v>
      </c>
      <c r="R56" s="6" t="s">
        <v>868</v>
      </c>
      <c r="S56" s="6" t="s">
        <v>1011</v>
      </c>
      <c r="T56" s="6" t="s">
        <v>1011</v>
      </c>
      <c r="V56" s="6" t="s">
        <v>1000</v>
      </c>
    </row>
    <row r="57" spans="1:22" x14ac:dyDescent="0.5">
      <c r="A57" s="6" t="s">
        <v>18</v>
      </c>
      <c r="B57" s="6" t="s">
        <v>346</v>
      </c>
      <c r="C57" s="6" t="s">
        <v>345</v>
      </c>
      <c r="D57" s="6" t="s">
        <v>348</v>
      </c>
      <c r="E57" s="6" t="s">
        <v>1008</v>
      </c>
      <c r="F57" s="6" t="s">
        <v>1029</v>
      </c>
      <c r="G57" s="6" t="s">
        <v>1009</v>
      </c>
      <c r="H57" s="6" t="s">
        <v>1153</v>
      </c>
      <c r="I57" s="6" t="s">
        <v>1154</v>
      </c>
      <c r="J57" s="6" t="s">
        <v>1155</v>
      </c>
      <c r="K57" s="6" t="s">
        <v>353</v>
      </c>
      <c r="L57" s="6" t="s">
        <v>994</v>
      </c>
      <c r="M57" s="6" t="s">
        <v>891</v>
      </c>
      <c r="N57" s="6" t="s">
        <v>996</v>
      </c>
      <c r="O57" s="6" t="s">
        <v>891</v>
      </c>
      <c r="P57" s="6" t="s">
        <v>997</v>
      </c>
      <c r="Q57" s="6" t="s">
        <v>1001</v>
      </c>
      <c r="S57" s="6" t="s">
        <v>1023</v>
      </c>
      <c r="T57" s="6" t="s">
        <v>1156</v>
      </c>
      <c r="V57" s="6" t="s">
        <v>1000</v>
      </c>
    </row>
    <row r="58" spans="1:22" x14ac:dyDescent="0.5">
      <c r="A58" s="6" t="s">
        <v>25</v>
      </c>
      <c r="B58" s="6" t="s">
        <v>346</v>
      </c>
      <c r="C58" s="6" t="s">
        <v>352</v>
      </c>
      <c r="D58" s="6" t="s">
        <v>353</v>
      </c>
      <c r="E58" s="6" t="s">
        <v>990</v>
      </c>
      <c r="F58" s="6" t="s">
        <v>1007</v>
      </c>
      <c r="G58" s="6" t="s">
        <v>1009</v>
      </c>
      <c r="H58" s="6" t="s">
        <v>1157</v>
      </c>
      <c r="I58" s="6" t="s">
        <v>1158</v>
      </c>
      <c r="J58" s="6" t="s">
        <v>1155</v>
      </c>
      <c r="K58" s="6" t="s">
        <v>353</v>
      </c>
      <c r="L58" s="6" t="s">
        <v>994</v>
      </c>
      <c r="M58" s="6" t="s">
        <v>891</v>
      </c>
      <c r="N58" s="6" t="s">
        <v>996</v>
      </c>
      <c r="O58" s="6" t="s">
        <v>891</v>
      </c>
      <c r="P58" s="6" t="s">
        <v>997</v>
      </c>
      <c r="Q58" s="6" t="s">
        <v>997</v>
      </c>
      <c r="R58" s="6" t="s">
        <v>868</v>
      </c>
      <c r="S58" s="6" t="s">
        <v>1023</v>
      </c>
      <c r="T58" s="6" t="s">
        <v>1023</v>
      </c>
      <c r="V58" s="6" t="s">
        <v>1000</v>
      </c>
    </row>
    <row r="59" spans="1:22" x14ac:dyDescent="0.5">
      <c r="A59" s="6" t="s">
        <v>18</v>
      </c>
      <c r="B59" s="6" t="s">
        <v>358</v>
      </c>
      <c r="C59" s="6" t="s">
        <v>357</v>
      </c>
      <c r="D59" s="6" t="s">
        <v>360</v>
      </c>
      <c r="E59" s="6" t="s">
        <v>1013</v>
      </c>
      <c r="F59" s="6" t="s">
        <v>1007</v>
      </c>
      <c r="G59" s="6" t="s">
        <v>1009</v>
      </c>
      <c r="H59" s="6" t="s">
        <v>1119</v>
      </c>
      <c r="I59" s="6" t="s">
        <v>358</v>
      </c>
      <c r="J59" s="6" t="s">
        <v>1159</v>
      </c>
      <c r="K59" s="6" t="s">
        <v>1160</v>
      </c>
      <c r="L59" s="6" t="s">
        <v>994</v>
      </c>
      <c r="M59" s="6" t="s">
        <v>891</v>
      </c>
      <c r="N59" s="6" t="s">
        <v>996</v>
      </c>
      <c r="O59" s="6" t="s">
        <v>891</v>
      </c>
      <c r="P59" s="6" t="s">
        <v>997</v>
      </c>
      <c r="Q59" s="6" t="s">
        <v>997</v>
      </c>
      <c r="S59" s="6" t="s">
        <v>1162</v>
      </c>
      <c r="T59" s="6" t="s">
        <v>1162</v>
      </c>
      <c r="V59" s="6" t="s">
        <v>1064</v>
      </c>
    </row>
    <row r="60" spans="1:22" x14ac:dyDescent="0.5">
      <c r="A60" s="6" t="s">
        <v>18</v>
      </c>
      <c r="B60" s="6" t="s">
        <v>365</v>
      </c>
      <c r="C60" s="6" t="s">
        <v>364</v>
      </c>
      <c r="D60" s="6" t="s">
        <v>367</v>
      </c>
      <c r="E60" s="6" t="s">
        <v>1008</v>
      </c>
      <c r="F60" s="6" t="s">
        <v>1024</v>
      </c>
      <c r="G60" s="6" t="s">
        <v>1009</v>
      </c>
      <c r="H60" s="6" t="s">
        <v>1163</v>
      </c>
      <c r="I60" s="6" t="s">
        <v>365</v>
      </c>
      <c r="J60" s="6" t="s">
        <v>1164</v>
      </c>
      <c r="K60" s="6" t="s">
        <v>1165</v>
      </c>
      <c r="L60" s="6" t="s">
        <v>994</v>
      </c>
      <c r="M60" s="6" t="s">
        <v>995</v>
      </c>
      <c r="N60" s="6" t="s">
        <v>1004</v>
      </c>
      <c r="O60" s="6" t="s">
        <v>868</v>
      </c>
      <c r="P60" s="6" t="s">
        <v>997</v>
      </c>
      <c r="Q60" s="6" t="s">
        <v>997</v>
      </c>
      <c r="R60" s="6" t="s">
        <v>868</v>
      </c>
      <c r="S60" s="6" t="s">
        <v>1023</v>
      </c>
      <c r="T60" s="6" t="s">
        <v>1023</v>
      </c>
      <c r="V60" s="6" t="s">
        <v>1042</v>
      </c>
    </row>
    <row r="61" spans="1:22" x14ac:dyDescent="0.5">
      <c r="A61" s="6" t="s">
        <v>18</v>
      </c>
      <c r="B61" s="6" t="s">
        <v>372</v>
      </c>
      <c r="C61" s="6" t="s">
        <v>371</v>
      </c>
      <c r="D61" s="6" t="s">
        <v>374</v>
      </c>
      <c r="E61" s="6" t="s">
        <v>1024</v>
      </c>
      <c r="F61" s="6" t="s">
        <v>989</v>
      </c>
      <c r="G61" s="6" t="s">
        <v>1009</v>
      </c>
      <c r="H61" s="6" t="s">
        <v>452</v>
      </c>
      <c r="I61" s="6" t="s">
        <v>372</v>
      </c>
      <c r="J61" s="6" t="s">
        <v>1166</v>
      </c>
      <c r="K61" s="6" t="s">
        <v>1167</v>
      </c>
      <c r="L61" s="6" t="s">
        <v>994</v>
      </c>
      <c r="M61" s="6" t="s">
        <v>1003</v>
      </c>
      <c r="N61" s="6" t="s">
        <v>996</v>
      </c>
      <c r="O61" s="6" t="s">
        <v>1003</v>
      </c>
      <c r="P61" s="6" t="s">
        <v>997</v>
      </c>
      <c r="Q61" s="6" t="s">
        <v>997</v>
      </c>
      <c r="R61" s="6" t="s">
        <v>868</v>
      </c>
      <c r="S61" s="6" t="s">
        <v>1168</v>
      </c>
      <c r="T61" s="6" t="s">
        <v>1168</v>
      </c>
      <c r="V61" s="6" t="s">
        <v>1000</v>
      </c>
    </row>
    <row r="62" spans="1:22" x14ac:dyDescent="0.5">
      <c r="A62" s="6" t="s">
        <v>18</v>
      </c>
      <c r="B62" s="6" t="s">
        <v>372</v>
      </c>
      <c r="C62" s="6" t="s">
        <v>378</v>
      </c>
      <c r="D62" s="6" t="s">
        <v>380</v>
      </c>
      <c r="E62" s="6" t="s">
        <v>990</v>
      </c>
      <c r="F62" s="6" t="s">
        <v>1030</v>
      </c>
      <c r="G62" s="6" t="s">
        <v>1009</v>
      </c>
      <c r="H62" s="6" t="s">
        <v>1169</v>
      </c>
      <c r="I62" s="6" t="s">
        <v>1170</v>
      </c>
      <c r="J62" s="6" t="s">
        <v>1171</v>
      </c>
      <c r="K62" s="6" t="s">
        <v>1172</v>
      </c>
      <c r="L62" s="6" t="s">
        <v>1068</v>
      </c>
      <c r="M62" s="6" t="s">
        <v>868</v>
      </c>
      <c r="N62" s="6" t="s">
        <v>1004</v>
      </c>
      <c r="O62" s="6" t="s">
        <v>868</v>
      </c>
      <c r="P62" s="6" t="s">
        <v>997</v>
      </c>
      <c r="Q62" s="6" t="s">
        <v>997</v>
      </c>
      <c r="R62" s="6" t="s">
        <v>74</v>
      </c>
      <c r="S62" s="6" t="s">
        <v>1118</v>
      </c>
      <c r="T62" s="6" t="s">
        <v>1118</v>
      </c>
      <c r="V62" s="6" t="s">
        <v>1000</v>
      </c>
    </row>
    <row r="63" spans="1:22" x14ac:dyDescent="0.5">
      <c r="A63" s="6" t="s">
        <v>25</v>
      </c>
      <c r="B63" s="6" t="s">
        <v>385</v>
      </c>
      <c r="C63" s="6" t="s">
        <v>384</v>
      </c>
      <c r="D63" s="6" t="s">
        <v>387</v>
      </c>
      <c r="E63" s="6" t="s">
        <v>989</v>
      </c>
      <c r="F63" s="6" t="s">
        <v>1013</v>
      </c>
      <c r="G63" s="6" t="s">
        <v>1009</v>
      </c>
      <c r="H63" s="6" t="s">
        <v>1173</v>
      </c>
      <c r="I63" s="6" t="s">
        <v>1174</v>
      </c>
      <c r="J63" s="6" t="s">
        <v>1175</v>
      </c>
      <c r="K63" s="6" t="s">
        <v>387</v>
      </c>
      <c r="L63" s="6" t="s">
        <v>994</v>
      </c>
      <c r="M63" s="6" t="s">
        <v>995</v>
      </c>
      <c r="N63" s="6" t="s">
        <v>996</v>
      </c>
      <c r="O63" s="6" t="s">
        <v>995</v>
      </c>
      <c r="P63" s="6" t="s">
        <v>1001</v>
      </c>
      <c r="Q63" s="6" t="s">
        <v>1001</v>
      </c>
      <c r="S63" s="6" t="s">
        <v>1028</v>
      </c>
      <c r="T63" s="6" t="s">
        <v>1028</v>
      </c>
      <c r="V63" s="6" t="s">
        <v>1006</v>
      </c>
    </row>
    <row r="64" spans="1:22" x14ac:dyDescent="0.5">
      <c r="A64" s="6" t="s">
        <v>18</v>
      </c>
      <c r="B64" s="6" t="s">
        <v>392</v>
      </c>
      <c r="C64" s="6" t="s">
        <v>391</v>
      </c>
      <c r="D64" s="6" t="s">
        <v>394</v>
      </c>
      <c r="E64" s="6" t="s">
        <v>1013</v>
      </c>
      <c r="F64" s="6" t="s">
        <v>1007</v>
      </c>
      <c r="G64" s="6" t="s">
        <v>1009</v>
      </c>
      <c r="H64" s="6" t="s">
        <v>1176</v>
      </c>
      <c r="I64" s="6" t="s">
        <v>392</v>
      </c>
      <c r="J64" s="6" t="s">
        <v>397</v>
      </c>
      <c r="K64" s="6" t="s">
        <v>394</v>
      </c>
      <c r="L64" s="6" t="s">
        <v>994</v>
      </c>
      <c r="M64" s="6" t="s">
        <v>1003</v>
      </c>
      <c r="N64" s="6" t="s">
        <v>996</v>
      </c>
      <c r="O64" s="6" t="s">
        <v>1003</v>
      </c>
      <c r="P64" s="6" t="s">
        <v>1001</v>
      </c>
      <c r="Q64" s="6" t="s">
        <v>997</v>
      </c>
      <c r="R64" s="6" t="s">
        <v>868</v>
      </c>
      <c r="S64" s="6" t="s">
        <v>1011</v>
      </c>
      <c r="V64" s="6" t="s">
        <v>1000</v>
      </c>
    </row>
    <row r="65" spans="1:22" x14ac:dyDescent="0.5">
      <c r="A65" s="6" t="s">
        <v>25</v>
      </c>
      <c r="B65" s="6" t="s">
        <v>392</v>
      </c>
      <c r="C65" s="6" t="s">
        <v>398</v>
      </c>
      <c r="D65" s="6" t="s">
        <v>394</v>
      </c>
      <c r="E65" s="6" t="s">
        <v>1024</v>
      </c>
      <c r="F65" s="6" t="s">
        <v>1030</v>
      </c>
      <c r="G65" s="6" t="s">
        <v>1009</v>
      </c>
      <c r="H65" s="6" t="s">
        <v>1177</v>
      </c>
      <c r="I65" s="6" t="s">
        <v>392</v>
      </c>
      <c r="J65" s="6" t="s">
        <v>397</v>
      </c>
      <c r="K65" s="6" t="s">
        <v>394</v>
      </c>
      <c r="L65" s="6" t="s">
        <v>994</v>
      </c>
      <c r="M65" s="6" t="s">
        <v>1003</v>
      </c>
      <c r="N65" s="6" t="s">
        <v>996</v>
      </c>
      <c r="O65" s="6" t="s">
        <v>1003</v>
      </c>
      <c r="P65" s="6" t="s">
        <v>1001</v>
      </c>
      <c r="Q65" s="6" t="s">
        <v>997</v>
      </c>
      <c r="R65" s="6" t="s">
        <v>868</v>
      </c>
      <c r="S65" s="6" t="s">
        <v>1011</v>
      </c>
      <c r="U65" s="6" t="s">
        <v>868</v>
      </c>
      <c r="V65" s="6" t="s">
        <v>1000</v>
      </c>
    </row>
    <row r="66" spans="1:22" x14ac:dyDescent="0.5">
      <c r="A66" s="6" t="s">
        <v>18</v>
      </c>
      <c r="B66" s="6" t="s">
        <v>403</v>
      </c>
      <c r="C66" s="6" t="s">
        <v>402</v>
      </c>
      <c r="D66" s="6" t="s">
        <v>405</v>
      </c>
      <c r="E66" s="6" t="s">
        <v>1452</v>
      </c>
      <c r="F66" s="6" t="s">
        <v>989</v>
      </c>
      <c r="G66" s="6" t="s">
        <v>1009</v>
      </c>
      <c r="H66" s="6" t="s">
        <v>1178</v>
      </c>
      <c r="I66" s="6" t="s">
        <v>403</v>
      </c>
      <c r="J66" s="6" t="s">
        <v>1179</v>
      </c>
      <c r="K66" s="6" t="s">
        <v>1180</v>
      </c>
      <c r="L66" s="6" t="s">
        <v>994</v>
      </c>
      <c r="M66" s="6" t="s">
        <v>1095</v>
      </c>
      <c r="N66" s="6" t="s">
        <v>996</v>
      </c>
      <c r="O66" s="6" t="s">
        <v>1095</v>
      </c>
      <c r="P66" s="6" t="s">
        <v>997</v>
      </c>
      <c r="Q66" s="6" t="s">
        <v>997</v>
      </c>
      <c r="R66" s="6" t="s">
        <v>868</v>
      </c>
      <c r="S66" s="6" t="s">
        <v>1181</v>
      </c>
      <c r="T66" s="6" t="s">
        <v>1181</v>
      </c>
      <c r="U66" s="6" t="s">
        <v>868</v>
      </c>
      <c r="V66" s="6" t="s">
        <v>1000</v>
      </c>
    </row>
    <row r="67" spans="1:22" x14ac:dyDescent="0.5">
      <c r="A67" s="6" t="s">
        <v>25</v>
      </c>
      <c r="B67" s="6" t="s">
        <v>415</v>
      </c>
      <c r="C67" s="6" t="s">
        <v>414</v>
      </c>
      <c r="D67" s="6" t="s">
        <v>417</v>
      </c>
      <c r="E67" s="6" t="s">
        <v>1452</v>
      </c>
      <c r="F67" s="6" t="s">
        <v>989</v>
      </c>
      <c r="G67" s="6" t="s">
        <v>1009</v>
      </c>
      <c r="H67" s="6" t="s">
        <v>1080</v>
      </c>
      <c r="I67" s="6" t="s">
        <v>415</v>
      </c>
      <c r="J67" s="6" t="s">
        <v>1185</v>
      </c>
      <c r="K67" s="6" t="s">
        <v>417</v>
      </c>
      <c r="L67" s="6" t="s">
        <v>994</v>
      </c>
      <c r="M67" s="6" t="s">
        <v>891</v>
      </c>
      <c r="N67" s="6" t="s">
        <v>1004</v>
      </c>
      <c r="O67" s="6" t="s">
        <v>868</v>
      </c>
      <c r="P67" s="6" t="s">
        <v>997</v>
      </c>
      <c r="Q67" s="6" t="s">
        <v>997</v>
      </c>
      <c r="R67" s="6" t="s">
        <v>868</v>
      </c>
      <c r="S67" s="6" t="s">
        <v>1023</v>
      </c>
      <c r="T67" s="6" t="s">
        <v>1023</v>
      </c>
      <c r="V67" s="6" t="s">
        <v>1000</v>
      </c>
    </row>
    <row r="68" spans="1:22" x14ac:dyDescent="0.5">
      <c r="A68" s="6" t="s">
        <v>25</v>
      </c>
      <c r="B68" s="6" t="s">
        <v>1475</v>
      </c>
      <c r="C68" s="6" t="s">
        <v>1476</v>
      </c>
      <c r="D68" s="6" t="s">
        <v>421</v>
      </c>
      <c r="E68" s="6" t="s">
        <v>989</v>
      </c>
      <c r="F68" s="6" t="s">
        <v>989</v>
      </c>
      <c r="G68" s="6" t="s">
        <v>1009</v>
      </c>
      <c r="H68" s="6" t="s">
        <v>1186</v>
      </c>
      <c r="I68" s="6" t="s">
        <v>1187</v>
      </c>
      <c r="J68" s="6" t="s">
        <v>1188</v>
      </c>
      <c r="K68" s="6" t="s">
        <v>421</v>
      </c>
      <c r="L68" s="6" t="s">
        <v>994</v>
      </c>
      <c r="M68" s="6" t="s">
        <v>891</v>
      </c>
      <c r="N68" s="6" t="s">
        <v>996</v>
      </c>
      <c r="O68" s="6" t="s">
        <v>891</v>
      </c>
      <c r="P68" s="6" t="s">
        <v>997</v>
      </c>
      <c r="Q68" s="6" t="s">
        <v>997</v>
      </c>
      <c r="V68" s="6" t="s">
        <v>1000</v>
      </c>
    </row>
    <row r="69" spans="1:22" ht="20.25" customHeight="1" x14ac:dyDescent="0.5">
      <c r="A69" s="6" t="s">
        <v>18</v>
      </c>
      <c r="B69" s="6" t="s">
        <v>425</v>
      </c>
      <c r="C69" s="6" t="s">
        <v>277</v>
      </c>
      <c r="D69" s="6" t="s">
        <v>427</v>
      </c>
      <c r="E69" s="6" t="s">
        <v>1043</v>
      </c>
      <c r="F69" s="6" t="s">
        <v>1014</v>
      </c>
      <c r="G69" s="6" t="s">
        <v>1009</v>
      </c>
      <c r="H69" s="6" t="s">
        <v>1189</v>
      </c>
      <c r="I69" s="6" t="s">
        <v>425</v>
      </c>
      <c r="J69" s="6" t="s">
        <v>1190</v>
      </c>
      <c r="K69" s="6" t="s">
        <v>1191</v>
      </c>
      <c r="L69" s="6" t="s">
        <v>994</v>
      </c>
      <c r="M69" s="6" t="s">
        <v>1095</v>
      </c>
      <c r="N69" s="6" t="s">
        <v>996</v>
      </c>
      <c r="O69" s="6" t="s">
        <v>1095</v>
      </c>
      <c r="P69" s="6" t="s">
        <v>997</v>
      </c>
      <c r="Q69" s="6" t="s">
        <v>997</v>
      </c>
      <c r="R69" s="6" t="s">
        <v>1192</v>
      </c>
      <c r="S69" s="6" t="s">
        <v>1181</v>
      </c>
      <c r="T69" s="6" t="s">
        <v>1181</v>
      </c>
      <c r="U69" s="8" t="s">
        <v>1437</v>
      </c>
      <c r="V69" s="6" t="s">
        <v>1000</v>
      </c>
    </row>
    <row r="70" spans="1:22" x14ac:dyDescent="0.5">
      <c r="A70" s="6" t="s">
        <v>18</v>
      </c>
      <c r="B70" s="6" t="s">
        <v>432</v>
      </c>
      <c r="C70" s="6" t="s">
        <v>431</v>
      </c>
      <c r="D70" s="6" t="s">
        <v>434</v>
      </c>
      <c r="E70" s="6" t="s">
        <v>1029</v>
      </c>
      <c r="F70" s="6" t="s">
        <v>1007</v>
      </c>
      <c r="G70" s="6" t="s">
        <v>1009</v>
      </c>
      <c r="H70" s="6" t="s">
        <v>1193</v>
      </c>
      <c r="I70" s="6" t="s">
        <v>432</v>
      </c>
      <c r="J70" s="6" t="s">
        <v>437</v>
      </c>
      <c r="K70" s="6" t="s">
        <v>434</v>
      </c>
      <c r="L70" s="6" t="s">
        <v>994</v>
      </c>
      <c r="M70" s="6" t="s">
        <v>891</v>
      </c>
      <c r="N70" s="6" t="s">
        <v>996</v>
      </c>
      <c r="O70" s="6" t="s">
        <v>891</v>
      </c>
      <c r="P70" s="6" t="s">
        <v>997</v>
      </c>
      <c r="Q70" s="6" t="s">
        <v>997</v>
      </c>
      <c r="R70" s="6" t="s">
        <v>868</v>
      </c>
      <c r="S70" s="6" t="s">
        <v>1194</v>
      </c>
      <c r="T70" s="6" t="s">
        <v>1194</v>
      </c>
      <c r="U70" s="6" t="s">
        <v>868</v>
      </c>
      <c r="V70" s="6" t="s">
        <v>1042</v>
      </c>
    </row>
    <row r="71" spans="1:22" x14ac:dyDescent="0.5">
      <c r="A71" s="6" t="s">
        <v>18</v>
      </c>
      <c r="B71" s="6" t="s">
        <v>439</v>
      </c>
      <c r="C71" s="6" t="s">
        <v>438</v>
      </c>
      <c r="D71" s="6" t="s">
        <v>441</v>
      </c>
      <c r="E71" s="6" t="s">
        <v>1030</v>
      </c>
      <c r="F71" s="6" t="s">
        <v>1014</v>
      </c>
      <c r="G71" s="6" t="s">
        <v>1009</v>
      </c>
      <c r="H71" s="6" t="s">
        <v>1103</v>
      </c>
      <c r="I71" s="6" t="s">
        <v>439</v>
      </c>
      <c r="J71" s="6" t="s">
        <v>1195</v>
      </c>
      <c r="K71" s="6" t="s">
        <v>441</v>
      </c>
      <c r="L71" s="6" t="s">
        <v>994</v>
      </c>
      <c r="M71" s="6" t="s">
        <v>891</v>
      </c>
      <c r="N71" s="6" t="s">
        <v>996</v>
      </c>
      <c r="O71" s="6" t="s">
        <v>891</v>
      </c>
      <c r="P71" s="6" t="s">
        <v>997</v>
      </c>
      <c r="Q71" s="6" t="s">
        <v>997</v>
      </c>
      <c r="S71" s="6" t="s">
        <v>1196</v>
      </c>
      <c r="T71" s="6" t="s">
        <v>1196</v>
      </c>
      <c r="U71" s="6" t="s">
        <v>1197</v>
      </c>
      <c r="V71" s="6" t="s">
        <v>1000</v>
      </c>
    </row>
    <row r="72" spans="1:22" x14ac:dyDescent="0.5">
      <c r="A72" s="6" t="s">
        <v>18</v>
      </c>
      <c r="B72" s="6" t="s">
        <v>446</v>
      </c>
      <c r="C72" s="6" t="s">
        <v>445</v>
      </c>
      <c r="D72" s="6" t="s">
        <v>448</v>
      </c>
      <c r="E72" s="6" t="s">
        <v>1043</v>
      </c>
      <c r="F72" s="6" t="s">
        <v>1013</v>
      </c>
      <c r="G72" s="139" t="s">
        <v>1467</v>
      </c>
      <c r="H72" s="6" t="s">
        <v>1198</v>
      </c>
      <c r="I72" s="6" t="s">
        <v>1199</v>
      </c>
      <c r="J72" s="6" t="s">
        <v>1200</v>
      </c>
      <c r="K72" s="6" t="s">
        <v>1201</v>
      </c>
      <c r="L72" s="6" t="s">
        <v>994</v>
      </c>
      <c r="M72" s="6" t="s">
        <v>995</v>
      </c>
      <c r="N72" s="6" t="s">
        <v>996</v>
      </c>
      <c r="O72" s="6" t="s">
        <v>995</v>
      </c>
      <c r="P72" s="6" t="s">
        <v>997</v>
      </c>
      <c r="Q72" s="6" t="s">
        <v>997</v>
      </c>
      <c r="R72" s="6" t="s">
        <v>868</v>
      </c>
      <c r="S72" s="6" t="s">
        <v>1181</v>
      </c>
      <c r="T72" s="6" t="s">
        <v>1202</v>
      </c>
      <c r="U72" s="6" t="s">
        <v>1203</v>
      </c>
      <c r="V72" s="6" t="s">
        <v>1042</v>
      </c>
    </row>
    <row r="73" spans="1:22" x14ac:dyDescent="0.5">
      <c r="A73" s="6" t="s">
        <v>25</v>
      </c>
      <c r="B73" s="6" t="s">
        <v>453</v>
      </c>
      <c r="C73" s="6" t="s">
        <v>452</v>
      </c>
      <c r="D73" s="6" t="s">
        <v>455</v>
      </c>
      <c r="E73" s="6" t="s">
        <v>989</v>
      </c>
      <c r="F73" s="6" t="s">
        <v>989</v>
      </c>
      <c r="G73" s="6" t="s">
        <v>1009</v>
      </c>
      <c r="H73" s="6" t="s">
        <v>1204</v>
      </c>
      <c r="I73" s="6" t="s">
        <v>1205</v>
      </c>
      <c r="J73" s="6" t="s">
        <v>1206</v>
      </c>
      <c r="K73" s="6" t="s">
        <v>455</v>
      </c>
      <c r="L73" s="6" t="s">
        <v>994</v>
      </c>
      <c r="M73" s="6" t="s">
        <v>891</v>
      </c>
      <c r="N73" s="6" t="s">
        <v>996</v>
      </c>
      <c r="O73" s="6" t="s">
        <v>891</v>
      </c>
      <c r="P73" s="6" t="s">
        <v>997</v>
      </c>
      <c r="Q73" s="6" t="s">
        <v>997</v>
      </c>
      <c r="R73" s="6" t="s">
        <v>1314</v>
      </c>
      <c r="V73" s="6" t="s">
        <v>1000</v>
      </c>
    </row>
    <row r="74" spans="1:22" x14ac:dyDescent="0.5">
      <c r="A74" s="6" t="s">
        <v>25</v>
      </c>
      <c r="B74" s="6" t="s">
        <v>460</v>
      </c>
      <c r="C74" s="6" t="s">
        <v>459</v>
      </c>
      <c r="D74" s="6" t="s">
        <v>462</v>
      </c>
      <c r="E74" s="6" t="s">
        <v>1029</v>
      </c>
      <c r="F74" s="6" t="s">
        <v>989</v>
      </c>
      <c r="G74" s="139" t="s">
        <v>991</v>
      </c>
      <c r="H74" s="6" t="s">
        <v>1080</v>
      </c>
      <c r="I74" s="6" t="s">
        <v>1438</v>
      </c>
      <c r="J74" s="6" t="s">
        <v>1002</v>
      </c>
      <c r="K74" s="6" t="s">
        <v>57</v>
      </c>
      <c r="L74" s="6" t="s">
        <v>994</v>
      </c>
      <c r="M74" s="6" t="s">
        <v>1003</v>
      </c>
      <c r="N74" s="6" t="s">
        <v>1004</v>
      </c>
      <c r="O74" s="6" t="s">
        <v>868</v>
      </c>
      <c r="P74" s="6" t="s">
        <v>997</v>
      </c>
      <c r="Q74" s="6" t="s">
        <v>997</v>
      </c>
      <c r="R74" s="6" t="s">
        <v>983</v>
      </c>
      <c r="S74" s="6" t="s">
        <v>1005</v>
      </c>
      <c r="V74" s="6" t="s">
        <v>1025</v>
      </c>
    </row>
    <row r="75" spans="1:22" x14ac:dyDescent="0.5">
      <c r="A75" s="6" t="s">
        <v>25</v>
      </c>
      <c r="B75" s="6" t="s">
        <v>467</v>
      </c>
      <c r="C75" s="6" t="s">
        <v>466</v>
      </c>
      <c r="D75" s="6" t="s">
        <v>469</v>
      </c>
      <c r="E75" s="6" t="s">
        <v>1029</v>
      </c>
      <c r="F75" s="6" t="s">
        <v>1007</v>
      </c>
      <c r="G75" s="6" t="s">
        <v>1009</v>
      </c>
      <c r="H75" s="6" t="s">
        <v>1207</v>
      </c>
      <c r="I75" s="6" t="s">
        <v>467</v>
      </c>
      <c r="J75" s="6" t="s">
        <v>472</v>
      </c>
      <c r="K75" s="6" t="s">
        <v>469</v>
      </c>
      <c r="L75" s="6" t="s">
        <v>994</v>
      </c>
      <c r="M75" s="6" t="s">
        <v>1003</v>
      </c>
      <c r="N75" s="6" t="s">
        <v>996</v>
      </c>
      <c r="O75" s="6" t="s">
        <v>1003</v>
      </c>
      <c r="P75" s="6" t="s">
        <v>997</v>
      </c>
      <c r="Q75" s="6" t="s">
        <v>997</v>
      </c>
      <c r="S75" s="6" t="s">
        <v>1208</v>
      </c>
      <c r="T75" s="6" t="s">
        <v>1209</v>
      </c>
      <c r="V75" s="6" t="s">
        <v>1000</v>
      </c>
    </row>
    <row r="76" spans="1:22" x14ac:dyDescent="0.5">
      <c r="A76" s="6" t="s">
        <v>25</v>
      </c>
      <c r="B76" s="6" t="s">
        <v>467</v>
      </c>
      <c r="C76" s="6" t="s">
        <v>473</v>
      </c>
      <c r="D76" s="6" t="s">
        <v>469</v>
      </c>
      <c r="E76" s="6" t="s">
        <v>1029</v>
      </c>
      <c r="F76" s="6" t="s">
        <v>1007</v>
      </c>
      <c r="G76" s="6" t="s">
        <v>1009</v>
      </c>
      <c r="H76" s="6" t="s">
        <v>1207</v>
      </c>
      <c r="I76" s="6" t="s">
        <v>1210</v>
      </c>
      <c r="J76" s="6" t="s">
        <v>472</v>
      </c>
      <c r="K76" s="6" t="s">
        <v>469</v>
      </c>
      <c r="L76" s="6" t="s">
        <v>994</v>
      </c>
      <c r="M76" s="6" t="s">
        <v>1003</v>
      </c>
      <c r="N76" s="6" t="s">
        <v>996</v>
      </c>
      <c r="O76" s="6" t="s">
        <v>1003</v>
      </c>
      <c r="P76" s="6" t="s">
        <v>997</v>
      </c>
      <c r="Q76" s="6" t="s">
        <v>997</v>
      </c>
      <c r="S76" s="6" t="s">
        <v>1208</v>
      </c>
      <c r="T76" s="6" t="s">
        <v>1209</v>
      </c>
      <c r="V76" s="6" t="s">
        <v>1000</v>
      </c>
    </row>
    <row r="77" spans="1:22" x14ac:dyDescent="0.5">
      <c r="A77" s="79" t="s">
        <v>25</v>
      </c>
      <c r="B77" s="79" t="s">
        <v>476</v>
      </c>
      <c r="C77" s="79" t="s">
        <v>475</v>
      </c>
      <c r="D77" s="79" t="s">
        <v>478</v>
      </c>
      <c r="E77" s="79" t="s">
        <v>1029</v>
      </c>
      <c r="F77" s="6" t="s">
        <v>1013</v>
      </c>
      <c r="G77" s="6" t="s">
        <v>1009</v>
      </c>
      <c r="H77" s="6" t="s">
        <v>1211</v>
      </c>
      <c r="I77" s="6" t="s">
        <v>1212</v>
      </c>
      <c r="J77" s="6" t="s">
        <v>1213</v>
      </c>
      <c r="K77" s="6" t="s">
        <v>1214</v>
      </c>
      <c r="L77" s="6" t="s">
        <v>994</v>
      </c>
      <c r="M77" s="6" t="s">
        <v>891</v>
      </c>
      <c r="N77" s="6" t="s">
        <v>1004</v>
      </c>
      <c r="O77" s="6" t="s">
        <v>868</v>
      </c>
      <c r="P77" s="6" t="s">
        <v>997</v>
      </c>
      <c r="Q77" s="6" t="s">
        <v>997</v>
      </c>
      <c r="S77" s="6" t="s">
        <v>1041</v>
      </c>
      <c r="T77" s="6" t="s">
        <v>1041</v>
      </c>
      <c r="V77" s="6" t="s">
        <v>1042</v>
      </c>
    </row>
    <row r="78" spans="1:22" x14ac:dyDescent="0.5">
      <c r="A78" s="6" t="s">
        <v>18</v>
      </c>
      <c r="B78" s="6" t="s">
        <v>483</v>
      </c>
      <c r="C78" s="6" t="s">
        <v>489</v>
      </c>
      <c r="D78" s="6" t="s">
        <v>490</v>
      </c>
      <c r="E78" s="6" t="s">
        <v>1008</v>
      </c>
      <c r="F78" s="6" t="s">
        <v>1007</v>
      </c>
      <c r="G78" s="6" t="s">
        <v>1009</v>
      </c>
      <c r="H78" s="6" t="s">
        <v>801</v>
      </c>
      <c r="I78" s="6" t="s">
        <v>483</v>
      </c>
      <c r="J78" s="6" t="s">
        <v>1215</v>
      </c>
      <c r="K78" s="6" t="s">
        <v>1216</v>
      </c>
      <c r="L78" s="6" t="s">
        <v>994</v>
      </c>
      <c r="M78" s="6" t="s">
        <v>891</v>
      </c>
      <c r="N78" s="6" t="s">
        <v>996</v>
      </c>
      <c r="O78" s="6" t="s">
        <v>891</v>
      </c>
      <c r="P78" s="6" t="s">
        <v>997</v>
      </c>
      <c r="Q78" s="6" t="s">
        <v>997</v>
      </c>
      <c r="R78" s="6" t="s">
        <v>868</v>
      </c>
      <c r="S78" s="6" t="s">
        <v>1011</v>
      </c>
      <c r="T78" s="6" t="s">
        <v>1011</v>
      </c>
      <c r="V78" s="6" t="s">
        <v>1042</v>
      </c>
    </row>
    <row r="79" spans="1:22" x14ac:dyDescent="0.5">
      <c r="A79" s="6" t="s">
        <v>18</v>
      </c>
      <c r="B79" s="6" t="s">
        <v>483</v>
      </c>
      <c r="C79" s="6" t="s">
        <v>482</v>
      </c>
      <c r="D79" s="6" t="s">
        <v>485</v>
      </c>
      <c r="E79" s="6" t="s">
        <v>1030</v>
      </c>
      <c r="F79" s="6" t="s">
        <v>1007</v>
      </c>
      <c r="G79" s="6" t="s">
        <v>1009</v>
      </c>
      <c r="H79" s="6" t="s">
        <v>801</v>
      </c>
      <c r="I79" s="6" t="s">
        <v>483</v>
      </c>
      <c r="J79" s="6" t="s">
        <v>1215</v>
      </c>
      <c r="K79" s="6" t="s">
        <v>1216</v>
      </c>
      <c r="L79" s="6" t="s">
        <v>994</v>
      </c>
      <c r="M79" s="6" t="s">
        <v>891</v>
      </c>
      <c r="N79" s="6" t="s">
        <v>996</v>
      </c>
      <c r="O79" s="6" t="s">
        <v>891</v>
      </c>
      <c r="P79" s="6" t="s">
        <v>997</v>
      </c>
      <c r="Q79" s="6" t="s">
        <v>997</v>
      </c>
      <c r="R79" s="6" t="s">
        <v>868</v>
      </c>
      <c r="S79" s="6" t="s">
        <v>1011</v>
      </c>
      <c r="T79" s="6" t="s">
        <v>1011</v>
      </c>
      <c r="V79" s="6" t="s">
        <v>1042</v>
      </c>
    </row>
    <row r="80" spans="1:22" x14ac:dyDescent="0.5">
      <c r="A80" s="6" t="s">
        <v>18</v>
      </c>
      <c r="B80" s="6" t="s">
        <v>495</v>
      </c>
      <c r="C80" s="6" t="s">
        <v>494</v>
      </c>
      <c r="D80" s="6" t="s">
        <v>497</v>
      </c>
      <c r="E80" s="6" t="s">
        <v>1043</v>
      </c>
      <c r="F80" s="6" t="s">
        <v>1013</v>
      </c>
      <c r="G80" s="6" t="s">
        <v>1009</v>
      </c>
      <c r="H80" s="6" t="s">
        <v>1217</v>
      </c>
      <c r="I80" s="6" t="s">
        <v>1218</v>
      </c>
      <c r="J80" s="6" t="s">
        <v>1219</v>
      </c>
      <c r="K80" s="6" t="s">
        <v>497</v>
      </c>
      <c r="L80" s="6" t="s">
        <v>994</v>
      </c>
      <c r="M80" s="6" t="s">
        <v>1003</v>
      </c>
      <c r="N80" s="6" t="s">
        <v>1004</v>
      </c>
      <c r="O80" s="6" t="s">
        <v>868</v>
      </c>
      <c r="P80" s="6" t="s">
        <v>997</v>
      </c>
      <c r="Q80" s="6" t="s">
        <v>997</v>
      </c>
      <c r="R80" s="6" t="s">
        <v>868</v>
      </c>
      <c r="S80" s="6" t="s">
        <v>1041</v>
      </c>
      <c r="T80" s="6" t="s">
        <v>1041</v>
      </c>
      <c r="V80" s="6" t="s">
        <v>1012</v>
      </c>
    </row>
    <row r="81" spans="1:22" x14ac:dyDescent="0.5">
      <c r="A81" s="6" t="s">
        <v>18</v>
      </c>
      <c r="B81" s="6" t="s">
        <v>509</v>
      </c>
      <c r="C81" s="6" t="s">
        <v>508</v>
      </c>
      <c r="D81" s="6" t="s">
        <v>511</v>
      </c>
      <c r="E81" s="6" t="s">
        <v>1013</v>
      </c>
      <c r="F81" s="6" t="s">
        <v>989</v>
      </c>
      <c r="G81" s="6" t="s">
        <v>1009</v>
      </c>
      <c r="H81" s="6" t="s">
        <v>1127</v>
      </c>
      <c r="I81" s="6" t="s">
        <v>509</v>
      </c>
      <c r="J81" s="6" t="s">
        <v>1222</v>
      </c>
      <c r="K81" s="6" t="s">
        <v>511</v>
      </c>
      <c r="L81" s="6" t="s">
        <v>994</v>
      </c>
      <c r="M81" s="6" t="s">
        <v>891</v>
      </c>
      <c r="N81" s="6" t="s">
        <v>996</v>
      </c>
      <c r="O81" s="6" t="s">
        <v>891</v>
      </c>
      <c r="P81" s="6" t="s">
        <v>997</v>
      </c>
      <c r="Q81" s="6" t="s">
        <v>997</v>
      </c>
      <c r="R81" s="6" t="s">
        <v>868</v>
      </c>
      <c r="S81" s="6" t="s">
        <v>1023</v>
      </c>
      <c r="T81" s="6" t="s">
        <v>1023</v>
      </c>
      <c r="U81" s="6" t="s">
        <v>868</v>
      </c>
      <c r="V81" s="6" t="s">
        <v>1064</v>
      </c>
    </row>
    <row r="82" spans="1:22" x14ac:dyDescent="0.5">
      <c r="A82" s="6" t="s">
        <v>25</v>
      </c>
      <c r="B82" s="6" t="s">
        <v>516</v>
      </c>
      <c r="C82" s="6" t="s">
        <v>522</v>
      </c>
      <c r="D82" s="6" t="s">
        <v>523</v>
      </c>
      <c r="E82" s="6" t="s">
        <v>1013</v>
      </c>
      <c r="F82" s="6" t="s">
        <v>989</v>
      </c>
      <c r="G82" s="6" t="s">
        <v>1009</v>
      </c>
      <c r="H82" s="6" t="s">
        <v>1223</v>
      </c>
      <c r="I82" s="6" t="s">
        <v>516</v>
      </c>
      <c r="J82" s="6" t="s">
        <v>1224</v>
      </c>
      <c r="K82" s="6" t="s">
        <v>1225</v>
      </c>
      <c r="L82" s="6" t="s">
        <v>994</v>
      </c>
      <c r="M82" s="6" t="s">
        <v>995</v>
      </c>
      <c r="N82" s="6" t="s">
        <v>996</v>
      </c>
      <c r="O82" s="6" t="s">
        <v>995</v>
      </c>
      <c r="P82" s="6" t="s">
        <v>997</v>
      </c>
      <c r="Q82" s="6" t="s">
        <v>997</v>
      </c>
      <c r="R82" s="6" t="s">
        <v>868</v>
      </c>
      <c r="S82" s="6" t="s">
        <v>1011</v>
      </c>
      <c r="T82" s="6" t="s">
        <v>1011</v>
      </c>
      <c r="U82" s="6" t="s">
        <v>868</v>
      </c>
      <c r="V82" s="6" t="s">
        <v>1042</v>
      </c>
    </row>
    <row r="83" spans="1:22" x14ac:dyDescent="0.5">
      <c r="A83" s="6" t="s">
        <v>25</v>
      </c>
      <c r="B83" s="6" t="s">
        <v>516</v>
      </c>
      <c r="C83" s="6" t="s">
        <v>515</v>
      </c>
      <c r="D83" s="6" t="s">
        <v>518</v>
      </c>
      <c r="E83" s="6" t="s">
        <v>1013</v>
      </c>
      <c r="F83" s="6" t="s">
        <v>1014</v>
      </c>
      <c r="G83" s="6" t="s">
        <v>1009</v>
      </c>
      <c r="H83" s="6" t="s">
        <v>1223</v>
      </c>
      <c r="I83" s="6" t="s">
        <v>516</v>
      </c>
      <c r="J83" s="6" t="s">
        <v>1224</v>
      </c>
      <c r="K83" s="6" t="s">
        <v>1225</v>
      </c>
      <c r="L83" s="6" t="s">
        <v>994</v>
      </c>
      <c r="M83" s="6" t="s">
        <v>995</v>
      </c>
      <c r="N83" s="6" t="s">
        <v>996</v>
      </c>
      <c r="O83" s="6" t="s">
        <v>995</v>
      </c>
      <c r="P83" s="6" t="s">
        <v>997</v>
      </c>
      <c r="Q83" s="6" t="s">
        <v>997</v>
      </c>
      <c r="R83" s="6" t="s">
        <v>868</v>
      </c>
      <c r="S83" s="6" t="s">
        <v>1226</v>
      </c>
      <c r="T83" s="6" t="s">
        <v>1227</v>
      </c>
      <c r="U83" s="6" t="s">
        <v>868</v>
      </c>
      <c r="V83" s="6" t="s">
        <v>1006</v>
      </c>
    </row>
    <row r="84" spans="1:22" x14ac:dyDescent="0.5">
      <c r="A84" s="6" t="s">
        <v>25</v>
      </c>
      <c r="B84" s="6" t="s">
        <v>528</v>
      </c>
      <c r="C84" s="6" t="s">
        <v>527</v>
      </c>
      <c r="D84" s="6" t="s">
        <v>530</v>
      </c>
      <c r="E84" s="6" t="s">
        <v>990</v>
      </c>
      <c r="F84" s="6" t="s">
        <v>989</v>
      </c>
      <c r="G84" s="6" t="s">
        <v>1009</v>
      </c>
      <c r="H84" s="6" t="s">
        <v>1228</v>
      </c>
      <c r="I84" s="6" t="s">
        <v>1229</v>
      </c>
      <c r="J84" s="6" t="s">
        <v>1230</v>
      </c>
      <c r="K84" s="6" t="s">
        <v>530</v>
      </c>
      <c r="L84" s="6" t="s">
        <v>1068</v>
      </c>
      <c r="M84" s="6" t="s">
        <v>868</v>
      </c>
      <c r="N84" s="6" t="s">
        <v>996</v>
      </c>
      <c r="O84" s="6" t="s">
        <v>1003</v>
      </c>
      <c r="P84" s="6" t="s">
        <v>997</v>
      </c>
      <c r="Q84" s="6" t="s">
        <v>997</v>
      </c>
      <c r="R84" s="6" t="s">
        <v>868</v>
      </c>
      <c r="S84" s="6" t="s">
        <v>1231</v>
      </c>
      <c r="U84" s="6" t="s">
        <v>868</v>
      </c>
      <c r="V84" s="6" t="s">
        <v>1000</v>
      </c>
    </row>
    <row r="85" spans="1:22" x14ac:dyDescent="0.5">
      <c r="A85" s="6" t="s">
        <v>18</v>
      </c>
      <c r="B85" s="6" t="s">
        <v>535</v>
      </c>
      <c r="C85" s="6" t="s">
        <v>534</v>
      </c>
      <c r="D85" s="6" t="s">
        <v>537</v>
      </c>
      <c r="E85" s="6" t="s">
        <v>1030</v>
      </c>
      <c r="F85" s="6" t="s">
        <v>1014</v>
      </c>
      <c r="G85" s="6" t="s">
        <v>1009</v>
      </c>
      <c r="H85" s="6" t="s">
        <v>1232</v>
      </c>
      <c r="I85" s="6" t="s">
        <v>1233</v>
      </c>
      <c r="J85" s="6" t="s">
        <v>1234</v>
      </c>
      <c r="K85" s="6" t="s">
        <v>537</v>
      </c>
      <c r="L85" s="6" t="s">
        <v>994</v>
      </c>
      <c r="M85" s="6" t="s">
        <v>891</v>
      </c>
      <c r="N85" s="6" t="s">
        <v>996</v>
      </c>
      <c r="O85" s="6" t="s">
        <v>891</v>
      </c>
      <c r="P85" s="6" t="s">
        <v>997</v>
      </c>
      <c r="Q85" s="6" t="s">
        <v>997</v>
      </c>
      <c r="R85" s="6" t="s">
        <v>868</v>
      </c>
      <c r="S85" s="6" t="s">
        <v>1011</v>
      </c>
      <c r="T85" s="6" t="s">
        <v>1011</v>
      </c>
      <c r="V85" s="6" t="s">
        <v>1000</v>
      </c>
    </row>
    <row r="86" spans="1:22" x14ac:dyDescent="0.5">
      <c r="A86" s="6" t="s">
        <v>25</v>
      </c>
      <c r="B86" s="6" t="s">
        <v>542</v>
      </c>
      <c r="C86" s="6" t="s">
        <v>541</v>
      </c>
      <c r="D86" s="6" t="s">
        <v>544</v>
      </c>
      <c r="E86" s="6" t="s">
        <v>1030</v>
      </c>
      <c r="F86" s="6" t="s">
        <v>1029</v>
      </c>
      <c r="G86" s="6" t="s">
        <v>1009</v>
      </c>
      <c r="H86" s="6" t="s">
        <v>1235</v>
      </c>
      <c r="I86" s="6" t="s">
        <v>542</v>
      </c>
      <c r="J86" s="6" t="s">
        <v>547</v>
      </c>
      <c r="K86" s="6" t="s">
        <v>1236</v>
      </c>
      <c r="L86" s="6" t="s">
        <v>994</v>
      </c>
      <c r="M86" s="6" t="s">
        <v>891</v>
      </c>
      <c r="N86" s="6" t="s">
        <v>996</v>
      </c>
      <c r="O86" s="6" t="s">
        <v>891</v>
      </c>
      <c r="P86" s="6" t="s">
        <v>997</v>
      </c>
      <c r="Q86" s="6" t="s">
        <v>997</v>
      </c>
      <c r="R86" s="6" t="s">
        <v>868</v>
      </c>
      <c r="S86" s="6" t="s">
        <v>1070</v>
      </c>
      <c r="T86" s="6" t="s">
        <v>1237</v>
      </c>
      <c r="V86" s="6" t="s">
        <v>1006</v>
      </c>
    </row>
    <row r="87" spans="1:22" x14ac:dyDescent="0.5">
      <c r="A87" s="6" t="s">
        <v>25</v>
      </c>
      <c r="B87" s="6" t="s">
        <v>549</v>
      </c>
      <c r="C87" s="6" t="s">
        <v>548</v>
      </c>
      <c r="D87" s="6" t="s">
        <v>551</v>
      </c>
      <c r="E87" s="6" t="s">
        <v>1452</v>
      </c>
      <c r="F87" s="6" t="s">
        <v>989</v>
      </c>
      <c r="G87" s="6" t="s">
        <v>1009</v>
      </c>
      <c r="H87" s="6" t="s">
        <v>1238</v>
      </c>
      <c r="I87" s="6" t="s">
        <v>1239</v>
      </c>
      <c r="J87" s="6" t="s">
        <v>1240</v>
      </c>
      <c r="K87" s="6" t="s">
        <v>551</v>
      </c>
      <c r="L87" s="6" t="s">
        <v>994</v>
      </c>
      <c r="M87" s="6" t="s">
        <v>891</v>
      </c>
      <c r="N87" s="6" t="s">
        <v>996</v>
      </c>
      <c r="O87" s="6" t="s">
        <v>891</v>
      </c>
      <c r="P87" s="6" t="s">
        <v>997</v>
      </c>
      <c r="Q87" s="6" t="s">
        <v>997</v>
      </c>
      <c r="S87" s="6" t="s">
        <v>1041</v>
      </c>
      <c r="T87" s="6" t="s">
        <v>1041</v>
      </c>
      <c r="U87" s="6" t="s">
        <v>868</v>
      </c>
      <c r="V87" s="6" t="s">
        <v>1000</v>
      </c>
    </row>
    <row r="88" spans="1:22" x14ac:dyDescent="0.5">
      <c r="A88" s="6" t="s">
        <v>18</v>
      </c>
      <c r="B88" s="6" t="s">
        <v>556</v>
      </c>
      <c r="C88" s="6" t="s">
        <v>555</v>
      </c>
      <c r="D88" s="6" t="s">
        <v>558</v>
      </c>
      <c r="E88" s="6" t="s">
        <v>1043</v>
      </c>
      <c r="F88" s="6" t="s">
        <v>1013</v>
      </c>
      <c r="G88" s="6" t="s">
        <v>1009</v>
      </c>
      <c r="H88" s="6" t="s">
        <v>1241</v>
      </c>
      <c r="I88" s="6" t="s">
        <v>556</v>
      </c>
      <c r="J88" s="6" t="s">
        <v>1242</v>
      </c>
      <c r="K88" s="6" t="s">
        <v>1243</v>
      </c>
      <c r="L88" s="6" t="s">
        <v>994</v>
      </c>
      <c r="M88" s="6" t="s">
        <v>1003</v>
      </c>
      <c r="N88" s="6" t="s">
        <v>996</v>
      </c>
      <c r="O88" s="6" t="s">
        <v>995</v>
      </c>
      <c r="P88" s="6" t="s">
        <v>997</v>
      </c>
      <c r="Q88" s="6" t="s">
        <v>1001</v>
      </c>
      <c r="R88" s="6" t="s">
        <v>868</v>
      </c>
      <c r="S88" s="6" t="s">
        <v>1023</v>
      </c>
      <c r="T88" s="6" t="s">
        <v>1023</v>
      </c>
      <c r="U88" s="6" t="s">
        <v>1244</v>
      </c>
      <c r="V88" s="6" t="s">
        <v>1000</v>
      </c>
    </row>
    <row r="89" spans="1:22" x14ac:dyDescent="0.5">
      <c r="A89" s="6" t="s">
        <v>25</v>
      </c>
      <c r="B89" s="6" t="s">
        <v>563</v>
      </c>
      <c r="C89" s="6" t="s">
        <v>562</v>
      </c>
      <c r="D89" s="6" t="s">
        <v>565</v>
      </c>
      <c r="E89" s="6" t="s">
        <v>990</v>
      </c>
      <c r="F89" s="6" t="s">
        <v>989</v>
      </c>
      <c r="G89" s="139" t="s">
        <v>991</v>
      </c>
      <c r="H89" s="6" t="s">
        <v>1080</v>
      </c>
      <c r="I89" s="6" t="s">
        <v>1438</v>
      </c>
      <c r="J89" s="6" t="s">
        <v>1002</v>
      </c>
      <c r="K89" s="6" t="s">
        <v>57</v>
      </c>
      <c r="L89" s="6" t="s">
        <v>994</v>
      </c>
      <c r="M89" s="6" t="s">
        <v>1003</v>
      </c>
      <c r="N89" s="6" t="s">
        <v>996</v>
      </c>
      <c r="O89" s="6" t="s">
        <v>1003</v>
      </c>
      <c r="P89" s="6" t="s">
        <v>997</v>
      </c>
      <c r="Q89" s="6" t="s">
        <v>997</v>
      </c>
      <c r="R89" s="6" t="s">
        <v>998</v>
      </c>
      <c r="S89" s="6" t="s">
        <v>1005</v>
      </c>
      <c r="V89" s="6" t="s">
        <v>1006</v>
      </c>
    </row>
    <row r="90" spans="1:22" x14ac:dyDescent="0.5">
      <c r="A90" s="6" t="s">
        <v>18</v>
      </c>
      <c r="B90" s="6" t="s">
        <v>569</v>
      </c>
      <c r="C90" s="6" t="s">
        <v>568</v>
      </c>
      <c r="D90" s="6" t="s">
        <v>571</v>
      </c>
      <c r="E90" s="6" t="s">
        <v>1013</v>
      </c>
      <c r="F90" s="6" t="s">
        <v>1014</v>
      </c>
      <c r="G90" s="6" t="s">
        <v>1009</v>
      </c>
      <c r="H90" s="6" t="s">
        <v>1245</v>
      </c>
      <c r="I90" s="6" t="s">
        <v>195</v>
      </c>
      <c r="J90" s="6" t="s">
        <v>1246</v>
      </c>
      <c r="K90" s="6" t="s">
        <v>1247</v>
      </c>
      <c r="L90" s="6" t="s">
        <v>994</v>
      </c>
      <c r="M90" s="6" t="s">
        <v>995</v>
      </c>
      <c r="N90" s="6" t="s">
        <v>996</v>
      </c>
      <c r="O90" s="6" t="s">
        <v>995</v>
      </c>
      <c r="P90" s="6" t="s">
        <v>997</v>
      </c>
      <c r="Q90" s="6" t="s">
        <v>1001</v>
      </c>
      <c r="R90" s="6" t="s">
        <v>868</v>
      </c>
      <c r="S90" s="6" t="s">
        <v>1181</v>
      </c>
      <c r="T90" s="6" t="s">
        <v>1181</v>
      </c>
      <c r="V90" s="6" t="s">
        <v>1000</v>
      </c>
    </row>
    <row r="91" spans="1:22" x14ac:dyDescent="0.5">
      <c r="A91" s="6" t="s">
        <v>25</v>
      </c>
      <c r="B91" s="6" t="s">
        <v>576</v>
      </c>
      <c r="C91" s="6" t="s">
        <v>575</v>
      </c>
      <c r="D91" s="6" t="s">
        <v>578</v>
      </c>
      <c r="E91" s="6" t="s">
        <v>1452</v>
      </c>
      <c r="F91" s="6" t="s">
        <v>1030</v>
      </c>
      <c r="G91" s="6" t="s">
        <v>1009</v>
      </c>
      <c r="H91" s="6" t="s">
        <v>1248</v>
      </c>
      <c r="I91" s="6" t="s">
        <v>1249</v>
      </c>
      <c r="J91" s="6" t="s">
        <v>1250</v>
      </c>
      <c r="K91" s="6" t="s">
        <v>578</v>
      </c>
      <c r="L91" s="6" t="s">
        <v>994</v>
      </c>
      <c r="M91" s="6" t="s">
        <v>891</v>
      </c>
      <c r="N91" s="6" t="s">
        <v>996</v>
      </c>
      <c r="O91" s="6" t="s">
        <v>891</v>
      </c>
      <c r="P91" s="6" t="s">
        <v>997</v>
      </c>
      <c r="Q91" s="6" t="s">
        <v>997</v>
      </c>
      <c r="R91" s="6" t="s">
        <v>868</v>
      </c>
      <c r="S91" s="6" t="s">
        <v>1251</v>
      </c>
      <c r="T91" s="6" t="s">
        <v>1251</v>
      </c>
      <c r="V91" s="6" t="s">
        <v>1000</v>
      </c>
    </row>
    <row r="92" spans="1:22" x14ac:dyDescent="0.5">
      <c r="A92" s="6" t="s">
        <v>25</v>
      </c>
      <c r="B92" s="6" t="s">
        <v>583</v>
      </c>
      <c r="C92" s="6" t="s">
        <v>582</v>
      </c>
      <c r="D92" s="6" t="s">
        <v>585</v>
      </c>
      <c r="E92" s="6" t="s">
        <v>990</v>
      </c>
      <c r="F92" s="6" t="s">
        <v>1013</v>
      </c>
      <c r="G92" s="6" t="s">
        <v>1009</v>
      </c>
      <c r="H92" s="6" t="s">
        <v>1252</v>
      </c>
      <c r="I92" s="6" t="s">
        <v>1253</v>
      </c>
      <c r="J92" s="6" t="s">
        <v>1254</v>
      </c>
      <c r="K92" s="6" t="s">
        <v>585</v>
      </c>
      <c r="L92" s="6" t="s">
        <v>994</v>
      </c>
      <c r="M92" s="6" t="s">
        <v>1003</v>
      </c>
      <c r="N92" s="6" t="s">
        <v>996</v>
      </c>
      <c r="O92" s="6" t="s">
        <v>1003</v>
      </c>
      <c r="P92" s="6" t="s">
        <v>997</v>
      </c>
      <c r="Q92" s="6" t="s">
        <v>997</v>
      </c>
      <c r="R92" s="6" t="s">
        <v>868</v>
      </c>
      <c r="S92" s="6" t="s">
        <v>1070</v>
      </c>
      <c r="V92" s="6" t="s">
        <v>1006</v>
      </c>
    </row>
    <row r="93" spans="1:22" x14ac:dyDescent="0.5">
      <c r="A93" s="6" t="s">
        <v>25</v>
      </c>
      <c r="B93" s="6" t="s">
        <v>590</v>
      </c>
      <c r="C93" s="6" t="s">
        <v>589</v>
      </c>
      <c r="D93" s="6" t="s">
        <v>592</v>
      </c>
      <c r="E93" s="6" t="s">
        <v>1029</v>
      </c>
      <c r="F93" s="6" t="s">
        <v>989</v>
      </c>
      <c r="G93" s="139" t="s">
        <v>991</v>
      </c>
      <c r="H93" s="6" t="s">
        <v>1080</v>
      </c>
      <c r="I93" s="6" t="s">
        <v>1438</v>
      </c>
      <c r="J93" s="6" t="s">
        <v>1002</v>
      </c>
      <c r="K93" s="6" t="s">
        <v>57</v>
      </c>
      <c r="L93" s="6" t="s">
        <v>994</v>
      </c>
      <c r="M93" s="6" t="s">
        <v>1003</v>
      </c>
      <c r="N93" s="6" t="s">
        <v>996</v>
      </c>
      <c r="O93" s="6" t="s">
        <v>1003</v>
      </c>
      <c r="P93" s="6" t="s">
        <v>997</v>
      </c>
      <c r="Q93" s="6" t="s">
        <v>997</v>
      </c>
      <c r="R93" s="6" t="s">
        <v>998</v>
      </c>
      <c r="S93" s="6" t="s">
        <v>1005</v>
      </c>
      <c r="V93" s="6" t="s">
        <v>1006</v>
      </c>
    </row>
    <row r="94" spans="1:22" x14ac:dyDescent="0.5">
      <c r="A94" s="6" t="s">
        <v>18</v>
      </c>
      <c r="B94" s="6" t="s">
        <v>596</v>
      </c>
      <c r="C94" s="6" t="s">
        <v>595</v>
      </c>
      <c r="D94" s="6" t="s">
        <v>598</v>
      </c>
      <c r="E94" s="6" t="s">
        <v>1024</v>
      </c>
      <c r="F94" s="6" t="s">
        <v>1029</v>
      </c>
      <c r="G94" s="6" t="s">
        <v>1009</v>
      </c>
      <c r="H94" s="6" t="s">
        <v>1139</v>
      </c>
      <c r="I94" s="6" t="s">
        <v>596</v>
      </c>
      <c r="J94" s="6" t="s">
        <v>1255</v>
      </c>
      <c r="K94" s="6" t="s">
        <v>598</v>
      </c>
      <c r="L94" s="6" t="s">
        <v>994</v>
      </c>
      <c r="M94" s="6" t="s">
        <v>995</v>
      </c>
      <c r="N94" s="6" t="s">
        <v>996</v>
      </c>
      <c r="O94" s="6" t="s">
        <v>995</v>
      </c>
      <c r="P94" s="6" t="s">
        <v>997</v>
      </c>
      <c r="Q94" s="6" t="s">
        <v>997</v>
      </c>
      <c r="S94" s="6" t="s">
        <v>1181</v>
      </c>
      <c r="T94" s="6" t="s">
        <v>1181</v>
      </c>
      <c r="V94" s="6" t="s">
        <v>1000</v>
      </c>
    </row>
    <row r="95" spans="1:22" x14ac:dyDescent="0.5">
      <c r="A95" s="6" t="s">
        <v>25</v>
      </c>
      <c r="B95" s="6" t="s">
        <v>603</v>
      </c>
      <c r="C95" s="6" t="s">
        <v>602</v>
      </c>
      <c r="D95" s="6" t="s">
        <v>605</v>
      </c>
      <c r="E95" s="6" t="s">
        <v>1024</v>
      </c>
      <c r="F95" s="6" t="s">
        <v>989</v>
      </c>
      <c r="G95" s="139" t="s">
        <v>1466</v>
      </c>
      <c r="H95" s="6" t="s">
        <v>378</v>
      </c>
      <c r="I95" s="6" t="s">
        <v>1256</v>
      </c>
      <c r="J95" s="6" t="s">
        <v>1257</v>
      </c>
      <c r="K95" s="6" t="s">
        <v>1258</v>
      </c>
      <c r="L95" s="6" t="s">
        <v>994</v>
      </c>
      <c r="M95" s="6" t="s">
        <v>995</v>
      </c>
      <c r="N95" s="6" t="s">
        <v>996</v>
      </c>
      <c r="O95" s="6" t="s">
        <v>995</v>
      </c>
      <c r="P95" s="6" t="s">
        <v>997</v>
      </c>
      <c r="Q95" s="6" t="s">
        <v>997</v>
      </c>
      <c r="S95" s="6" t="s">
        <v>1041</v>
      </c>
      <c r="T95" s="6" t="s">
        <v>1041</v>
      </c>
      <c r="V95" s="6" t="s">
        <v>1006</v>
      </c>
    </row>
    <row r="96" spans="1:22" x14ac:dyDescent="0.5">
      <c r="A96" s="6" t="s">
        <v>25</v>
      </c>
      <c r="B96" s="6" t="s">
        <v>610</v>
      </c>
      <c r="C96" s="6" t="s">
        <v>609</v>
      </c>
      <c r="D96" s="6" t="s">
        <v>612</v>
      </c>
      <c r="E96" s="6" t="s">
        <v>990</v>
      </c>
      <c r="F96" s="6" t="s">
        <v>989</v>
      </c>
      <c r="G96" s="6" t="s">
        <v>1009</v>
      </c>
      <c r="H96" s="6" t="s">
        <v>1259</v>
      </c>
      <c r="I96" s="6" t="s">
        <v>1260</v>
      </c>
      <c r="J96" s="6" t="s">
        <v>615</v>
      </c>
      <c r="K96" s="6" t="s">
        <v>612</v>
      </c>
      <c r="L96" s="6" t="s">
        <v>1068</v>
      </c>
      <c r="M96" s="6" t="s">
        <v>868</v>
      </c>
      <c r="N96" s="6" t="s">
        <v>1004</v>
      </c>
      <c r="O96" s="6" t="s">
        <v>868</v>
      </c>
      <c r="P96" s="6" t="s">
        <v>997</v>
      </c>
      <c r="Q96" s="6" t="s">
        <v>997</v>
      </c>
      <c r="R96" s="6" t="s">
        <v>868</v>
      </c>
      <c r="S96" s="6" t="s">
        <v>1261</v>
      </c>
      <c r="T96" s="6" t="s">
        <v>1261</v>
      </c>
      <c r="U96" s="6" t="s">
        <v>868</v>
      </c>
      <c r="V96" s="6" t="s">
        <v>1006</v>
      </c>
    </row>
    <row r="97" spans="1:22" x14ac:dyDescent="0.5">
      <c r="A97" s="6" t="s">
        <v>25</v>
      </c>
      <c r="B97" s="6" t="s">
        <v>617</v>
      </c>
      <c r="C97" s="6" t="s">
        <v>616</v>
      </c>
      <c r="D97" s="6" t="s">
        <v>619</v>
      </c>
      <c r="E97" s="6" t="s">
        <v>1024</v>
      </c>
      <c r="F97" s="6" t="s">
        <v>1007</v>
      </c>
      <c r="G97" s="6" t="s">
        <v>1009</v>
      </c>
      <c r="H97" s="6" t="s">
        <v>1262</v>
      </c>
      <c r="I97" s="6" t="s">
        <v>1263</v>
      </c>
      <c r="J97" s="6" t="s">
        <v>622</v>
      </c>
      <c r="K97" s="6" t="s">
        <v>1264</v>
      </c>
      <c r="L97" s="6" t="s">
        <v>994</v>
      </c>
      <c r="M97" s="6" t="s">
        <v>1095</v>
      </c>
      <c r="N97" s="6" t="s">
        <v>996</v>
      </c>
      <c r="O97" s="6" t="s">
        <v>1095</v>
      </c>
      <c r="P97" s="6" t="s">
        <v>1001</v>
      </c>
      <c r="Q97" s="6" t="s">
        <v>997</v>
      </c>
      <c r="R97" s="6" t="s">
        <v>868</v>
      </c>
      <c r="S97" s="6" t="s">
        <v>1041</v>
      </c>
      <c r="T97" s="6" t="s">
        <v>1041</v>
      </c>
      <c r="U97" s="6" t="s">
        <v>868</v>
      </c>
      <c r="V97" s="6" t="s">
        <v>1042</v>
      </c>
    </row>
    <row r="98" spans="1:22" x14ac:dyDescent="0.5">
      <c r="A98" s="6" t="s">
        <v>18</v>
      </c>
      <c r="B98" s="6" t="s">
        <v>617</v>
      </c>
      <c r="C98" s="6" t="s">
        <v>623</v>
      </c>
      <c r="D98" s="6" t="s">
        <v>619</v>
      </c>
      <c r="E98" s="6" t="s">
        <v>1043</v>
      </c>
      <c r="F98" s="6" t="s">
        <v>989</v>
      </c>
      <c r="G98" s="6" t="s">
        <v>1009</v>
      </c>
      <c r="H98" s="6" t="s">
        <v>1262</v>
      </c>
      <c r="I98" s="6" t="s">
        <v>1263</v>
      </c>
      <c r="J98" s="6" t="s">
        <v>622</v>
      </c>
      <c r="K98" s="6" t="s">
        <v>1264</v>
      </c>
      <c r="L98" s="6" t="s">
        <v>994</v>
      </c>
      <c r="M98" s="6" t="s">
        <v>1095</v>
      </c>
      <c r="N98" s="6" t="s">
        <v>996</v>
      </c>
      <c r="O98" s="6" t="s">
        <v>1095</v>
      </c>
      <c r="P98" s="6" t="s">
        <v>997</v>
      </c>
      <c r="Q98" s="6" t="s">
        <v>997</v>
      </c>
      <c r="R98" s="6" t="s">
        <v>868</v>
      </c>
      <c r="S98" s="6" t="s">
        <v>1041</v>
      </c>
      <c r="T98" s="6" t="s">
        <v>1041</v>
      </c>
      <c r="U98" s="6" t="s">
        <v>868</v>
      </c>
      <c r="V98" s="6" t="s">
        <v>1042</v>
      </c>
    </row>
    <row r="99" spans="1:22" x14ac:dyDescent="0.5">
      <c r="A99" s="6" t="s">
        <v>25</v>
      </c>
      <c r="B99" s="6" t="s">
        <v>627</v>
      </c>
      <c r="C99" s="6" t="s">
        <v>626</v>
      </c>
      <c r="D99" s="6" t="s">
        <v>629</v>
      </c>
      <c r="E99" s="6" t="s">
        <v>989</v>
      </c>
      <c r="F99" s="6" t="s">
        <v>1029</v>
      </c>
      <c r="G99" s="6" t="s">
        <v>1009</v>
      </c>
      <c r="H99" s="6" t="s">
        <v>1266</v>
      </c>
      <c r="I99" s="6" t="s">
        <v>1267</v>
      </c>
      <c r="J99" s="6" t="s">
        <v>632</v>
      </c>
      <c r="K99" s="6" t="s">
        <v>629</v>
      </c>
      <c r="L99" s="6" t="s">
        <v>994</v>
      </c>
      <c r="M99" s="6" t="s">
        <v>891</v>
      </c>
      <c r="N99" s="6" t="s">
        <v>996</v>
      </c>
      <c r="O99" s="6" t="s">
        <v>891</v>
      </c>
      <c r="P99" s="6" t="s">
        <v>997</v>
      </c>
      <c r="Q99" s="6" t="s">
        <v>997</v>
      </c>
      <c r="R99" s="6" t="s">
        <v>868</v>
      </c>
      <c r="S99" s="6" t="s">
        <v>1023</v>
      </c>
      <c r="T99" s="6" t="s">
        <v>1023</v>
      </c>
      <c r="U99" s="6" t="s">
        <v>868</v>
      </c>
      <c r="V99" s="6" t="s">
        <v>1006</v>
      </c>
    </row>
    <row r="100" spans="1:22" x14ac:dyDescent="0.5">
      <c r="A100" s="6" t="s">
        <v>18</v>
      </c>
      <c r="B100" s="6" t="s">
        <v>634</v>
      </c>
      <c r="C100" s="6" t="s">
        <v>633</v>
      </c>
      <c r="D100" s="6" t="s">
        <v>636</v>
      </c>
      <c r="E100" s="6" t="s">
        <v>1030</v>
      </c>
      <c r="F100" s="6" t="s">
        <v>990</v>
      </c>
      <c r="G100" s="6" t="s">
        <v>1009</v>
      </c>
      <c r="H100" s="6" t="s">
        <v>1268</v>
      </c>
      <c r="I100" s="6" t="s">
        <v>634</v>
      </c>
      <c r="J100" s="6" t="s">
        <v>1269</v>
      </c>
      <c r="K100" s="6" t="s">
        <v>1270</v>
      </c>
      <c r="L100" s="6" t="s">
        <v>994</v>
      </c>
      <c r="M100" s="6" t="s">
        <v>891</v>
      </c>
      <c r="N100" s="6" t="s">
        <v>996</v>
      </c>
      <c r="O100" s="6" t="s">
        <v>891</v>
      </c>
      <c r="P100" s="6" t="s">
        <v>997</v>
      </c>
      <c r="Q100" s="6" t="s">
        <v>997</v>
      </c>
      <c r="R100" s="6" t="s">
        <v>868</v>
      </c>
      <c r="S100" s="6" t="s">
        <v>1011</v>
      </c>
      <c r="T100" s="6" t="s">
        <v>1011</v>
      </c>
      <c r="U100" s="6" t="s">
        <v>868</v>
      </c>
      <c r="V100" s="6" t="s">
        <v>1000</v>
      </c>
    </row>
    <row r="101" spans="1:22" x14ac:dyDescent="0.5">
      <c r="A101" s="6" t="s">
        <v>25</v>
      </c>
      <c r="B101" s="6" t="s">
        <v>641</v>
      </c>
      <c r="C101" s="6" t="s">
        <v>640</v>
      </c>
      <c r="D101" s="6" t="s">
        <v>643</v>
      </c>
      <c r="E101" s="6" t="s">
        <v>1029</v>
      </c>
      <c r="F101" s="6" t="s">
        <v>1008</v>
      </c>
      <c r="G101" s="6" t="s">
        <v>1009</v>
      </c>
      <c r="H101" s="6" t="s">
        <v>1271</v>
      </c>
      <c r="I101" s="6" t="s">
        <v>1272</v>
      </c>
      <c r="J101" s="6" t="s">
        <v>1273</v>
      </c>
      <c r="K101" s="6" t="s">
        <v>643</v>
      </c>
      <c r="L101" s="6" t="s">
        <v>994</v>
      </c>
      <c r="M101" s="6" t="s">
        <v>891</v>
      </c>
      <c r="N101" s="6" t="s">
        <v>996</v>
      </c>
      <c r="O101" s="6" t="s">
        <v>891</v>
      </c>
      <c r="P101" s="6" t="s">
        <v>1001</v>
      </c>
      <c r="Q101" s="6" t="s">
        <v>997</v>
      </c>
      <c r="R101" s="6" t="s">
        <v>868</v>
      </c>
      <c r="S101" s="6" t="s">
        <v>1274</v>
      </c>
      <c r="T101" s="6" t="s">
        <v>1261</v>
      </c>
      <c r="U101" s="6" t="s">
        <v>868</v>
      </c>
      <c r="V101" s="6" t="s">
        <v>1006</v>
      </c>
    </row>
    <row r="102" spans="1:22" x14ac:dyDescent="0.5">
      <c r="A102" s="6" t="s">
        <v>18</v>
      </c>
      <c r="B102" s="6" t="s">
        <v>647</v>
      </c>
      <c r="C102" s="6" t="s">
        <v>648</v>
      </c>
      <c r="D102" s="6" t="s">
        <v>650</v>
      </c>
      <c r="E102" s="6" t="s">
        <v>1008</v>
      </c>
      <c r="F102" s="6" t="s">
        <v>1014</v>
      </c>
      <c r="G102" s="6" t="s">
        <v>1009</v>
      </c>
      <c r="H102" s="6" t="s">
        <v>1275</v>
      </c>
      <c r="I102" s="6" t="s">
        <v>1276</v>
      </c>
      <c r="J102" s="6" t="s">
        <v>1277</v>
      </c>
      <c r="K102" s="6" t="s">
        <v>650</v>
      </c>
      <c r="L102" s="6" t="s">
        <v>994</v>
      </c>
      <c r="M102" s="6" t="s">
        <v>891</v>
      </c>
      <c r="N102" s="6" t="s">
        <v>996</v>
      </c>
      <c r="O102" s="6" t="s">
        <v>891</v>
      </c>
      <c r="P102" s="6" t="s">
        <v>997</v>
      </c>
      <c r="Q102" s="6" t="s">
        <v>997</v>
      </c>
      <c r="S102" s="6" t="s">
        <v>1181</v>
      </c>
      <c r="U102" s="6" t="s">
        <v>868</v>
      </c>
      <c r="V102" s="6" t="s">
        <v>1006</v>
      </c>
    </row>
    <row r="103" spans="1:22" x14ac:dyDescent="0.5">
      <c r="A103" s="6" t="s">
        <v>25</v>
      </c>
      <c r="B103" s="6" t="s">
        <v>655</v>
      </c>
      <c r="C103" s="6" t="s">
        <v>654</v>
      </c>
      <c r="D103" s="6" t="s">
        <v>657</v>
      </c>
      <c r="E103" s="6" t="s">
        <v>1013</v>
      </c>
      <c r="F103" s="6" t="s">
        <v>1030</v>
      </c>
      <c r="G103" s="6" t="s">
        <v>1009</v>
      </c>
      <c r="H103" s="6" t="s">
        <v>1278</v>
      </c>
      <c r="I103" s="6" t="s">
        <v>655</v>
      </c>
      <c r="J103" s="6" t="s">
        <v>1279</v>
      </c>
      <c r="K103" s="6" t="s">
        <v>1280</v>
      </c>
      <c r="L103" s="6" t="s">
        <v>994</v>
      </c>
      <c r="M103" s="6" t="s">
        <v>1095</v>
      </c>
      <c r="N103" s="6" t="s">
        <v>996</v>
      </c>
      <c r="O103" s="6" t="s">
        <v>1095</v>
      </c>
      <c r="P103" s="6" t="s">
        <v>997</v>
      </c>
      <c r="Q103" s="6" t="s">
        <v>997</v>
      </c>
      <c r="R103" s="6" t="s">
        <v>868</v>
      </c>
      <c r="S103" s="6" t="s">
        <v>1041</v>
      </c>
      <c r="T103" s="6" t="s">
        <v>1041</v>
      </c>
      <c r="U103" s="6" t="s">
        <v>868</v>
      </c>
      <c r="V103" s="6" t="s">
        <v>1006</v>
      </c>
    </row>
    <row r="104" spans="1:22" x14ac:dyDescent="0.5">
      <c r="A104" s="6" t="s">
        <v>18</v>
      </c>
      <c r="B104" s="6" t="s">
        <v>661</v>
      </c>
      <c r="C104" s="6" t="s">
        <v>378</v>
      </c>
      <c r="D104" s="6" t="s">
        <v>663</v>
      </c>
      <c r="E104" s="6" t="s">
        <v>1452</v>
      </c>
      <c r="F104" s="6" t="s">
        <v>1030</v>
      </c>
      <c r="G104" s="6" t="s">
        <v>1009</v>
      </c>
      <c r="H104" s="6" t="s">
        <v>1281</v>
      </c>
      <c r="I104" s="6" t="s">
        <v>661</v>
      </c>
      <c r="J104" s="6" t="s">
        <v>1282</v>
      </c>
      <c r="K104" s="6" t="s">
        <v>1283</v>
      </c>
      <c r="L104" s="6" t="s">
        <v>994</v>
      </c>
      <c r="M104" s="6" t="s">
        <v>1095</v>
      </c>
      <c r="N104" s="6" t="s">
        <v>996</v>
      </c>
      <c r="O104" s="6" t="s">
        <v>1095</v>
      </c>
      <c r="P104" s="6" t="s">
        <v>997</v>
      </c>
      <c r="Q104" s="6" t="s">
        <v>997</v>
      </c>
      <c r="S104" s="6" t="s">
        <v>1041</v>
      </c>
      <c r="T104" s="6" t="s">
        <v>1041</v>
      </c>
      <c r="U104" s="6" t="s">
        <v>74</v>
      </c>
      <c r="V104" s="6" t="s">
        <v>1006</v>
      </c>
    </row>
    <row r="105" spans="1:22" x14ac:dyDescent="0.5">
      <c r="A105" s="6" t="s">
        <v>18</v>
      </c>
      <c r="B105" s="6" t="s">
        <v>661</v>
      </c>
      <c r="C105" s="6" t="s">
        <v>667</v>
      </c>
      <c r="D105" s="6" t="s">
        <v>668</v>
      </c>
      <c r="E105" s="6" t="s">
        <v>1030</v>
      </c>
      <c r="F105" s="6" t="s">
        <v>1013</v>
      </c>
      <c r="G105" s="6" t="s">
        <v>1009</v>
      </c>
      <c r="H105" s="6" t="s">
        <v>1281</v>
      </c>
      <c r="I105" s="6" t="s">
        <v>661</v>
      </c>
      <c r="J105" s="6" t="s">
        <v>1282</v>
      </c>
      <c r="K105" s="6" t="s">
        <v>1283</v>
      </c>
      <c r="L105" s="6" t="s">
        <v>994</v>
      </c>
      <c r="M105" s="6" t="s">
        <v>1095</v>
      </c>
      <c r="N105" s="6" t="s">
        <v>996</v>
      </c>
      <c r="O105" s="6" t="s">
        <v>1095</v>
      </c>
      <c r="P105" s="6" t="s">
        <v>997</v>
      </c>
      <c r="Q105" s="6" t="s">
        <v>997</v>
      </c>
      <c r="S105" s="6" t="s">
        <v>1041</v>
      </c>
      <c r="T105" s="6" t="s">
        <v>1041</v>
      </c>
      <c r="V105" s="6" t="s">
        <v>1006</v>
      </c>
    </row>
    <row r="106" spans="1:22" x14ac:dyDescent="0.5">
      <c r="A106" s="6" t="s">
        <v>18</v>
      </c>
      <c r="B106" s="6" t="s">
        <v>671</v>
      </c>
      <c r="C106" s="6" t="s">
        <v>489</v>
      </c>
      <c r="D106" s="6" t="s">
        <v>673</v>
      </c>
      <c r="E106" s="6" t="s">
        <v>1043</v>
      </c>
      <c r="F106" s="6" t="s">
        <v>1014</v>
      </c>
      <c r="G106" s="6" t="s">
        <v>1009</v>
      </c>
      <c r="H106" s="6" t="s">
        <v>1284</v>
      </c>
      <c r="I106" s="6" t="s">
        <v>671</v>
      </c>
      <c r="J106" s="6" t="s">
        <v>676</v>
      </c>
      <c r="K106" s="6" t="s">
        <v>673</v>
      </c>
      <c r="L106" s="6" t="s">
        <v>994</v>
      </c>
      <c r="M106" s="6" t="s">
        <v>1095</v>
      </c>
      <c r="N106" s="6" t="s">
        <v>996</v>
      </c>
      <c r="O106" s="6" t="s">
        <v>1095</v>
      </c>
      <c r="P106" s="6" t="s">
        <v>997</v>
      </c>
      <c r="Q106" s="6" t="s">
        <v>997</v>
      </c>
      <c r="S106" s="6" t="s">
        <v>1011</v>
      </c>
      <c r="T106" s="6" t="s">
        <v>1011</v>
      </c>
      <c r="V106" s="6" t="s">
        <v>1000</v>
      </c>
    </row>
    <row r="107" spans="1:22" x14ac:dyDescent="0.5">
      <c r="A107" s="6" t="s">
        <v>25</v>
      </c>
      <c r="B107" s="6" t="s">
        <v>678</v>
      </c>
      <c r="C107" s="6" t="s">
        <v>677</v>
      </c>
      <c r="D107" s="6" t="s">
        <v>680</v>
      </c>
      <c r="E107" s="6" t="s">
        <v>990</v>
      </c>
      <c r="F107" s="6" t="s">
        <v>1024</v>
      </c>
      <c r="G107" s="6" t="s">
        <v>1009</v>
      </c>
      <c r="H107" s="6" t="s">
        <v>1285</v>
      </c>
      <c r="I107" s="6" t="s">
        <v>678</v>
      </c>
      <c r="J107" s="6" t="s">
        <v>1286</v>
      </c>
      <c r="K107" s="6" t="s">
        <v>680</v>
      </c>
      <c r="L107" s="6" t="s">
        <v>994</v>
      </c>
      <c r="M107" s="6" t="s">
        <v>1498</v>
      </c>
      <c r="N107" s="6" t="s">
        <v>996</v>
      </c>
      <c r="O107" s="6" t="s">
        <v>1498</v>
      </c>
      <c r="P107" s="6" t="s">
        <v>997</v>
      </c>
      <c r="Q107" s="6" t="s">
        <v>997</v>
      </c>
      <c r="S107" s="6" t="s">
        <v>1028</v>
      </c>
      <c r="V107" s="6" t="s">
        <v>1006</v>
      </c>
    </row>
    <row r="108" spans="1:22" x14ac:dyDescent="0.5">
      <c r="A108" s="6" t="s">
        <v>25</v>
      </c>
      <c r="B108" s="6" t="s">
        <v>685</v>
      </c>
      <c r="C108" s="6" t="s">
        <v>684</v>
      </c>
      <c r="D108" s="6" t="s">
        <v>686</v>
      </c>
      <c r="E108" s="6" t="s">
        <v>990</v>
      </c>
      <c r="F108" s="6" t="s">
        <v>989</v>
      </c>
      <c r="G108" s="139" t="s">
        <v>991</v>
      </c>
      <c r="H108" s="6" t="s">
        <v>1080</v>
      </c>
      <c r="I108" s="6" t="s">
        <v>1438</v>
      </c>
      <c r="J108" s="6" t="s">
        <v>1002</v>
      </c>
      <c r="K108" s="6" t="s">
        <v>57</v>
      </c>
      <c r="L108" s="6" t="s">
        <v>994</v>
      </c>
      <c r="M108" s="6" t="s">
        <v>1003</v>
      </c>
      <c r="N108" s="6" t="s">
        <v>996</v>
      </c>
      <c r="O108" s="6" t="s">
        <v>1003</v>
      </c>
      <c r="P108" s="6" t="s">
        <v>997</v>
      </c>
      <c r="Q108" s="6" t="s">
        <v>997</v>
      </c>
      <c r="R108" s="6" t="s">
        <v>998</v>
      </c>
      <c r="S108" s="6" t="s">
        <v>1005</v>
      </c>
      <c r="V108" s="6" t="s">
        <v>1006</v>
      </c>
    </row>
    <row r="109" spans="1:22" x14ac:dyDescent="0.5">
      <c r="A109" s="6" t="s">
        <v>18</v>
      </c>
      <c r="B109" s="6" t="s">
        <v>691</v>
      </c>
      <c r="C109" s="6" t="s">
        <v>690</v>
      </c>
      <c r="D109" s="6" t="s">
        <v>693</v>
      </c>
      <c r="E109" s="6" t="s">
        <v>1452</v>
      </c>
      <c r="F109" s="6" t="s">
        <v>1008</v>
      </c>
      <c r="G109" s="6" t="s">
        <v>1009</v>
      </c>
      <c r="H109" s="6" t="s">
        <v>398</v>
      </c>
      <c r="I109" s="6" t="s">
        <v>691</v>
      </c>
      <c r="J109" s="6" t="s">
        <v>1287</v>
      </c>
      <c r="K109" s="6" t="s">
        <v>693</v>
      </c>
      <c r="L109" s="6" t="s">
        <v>994</v>
      </c>
      <c r="M109" s="6" t="s">
        <v>891</v>
      </c>
      <c r="N109" s="6" t="s">
        <v>996</v>
      </c>
      <c r="O109" s="6" t="s">
        <v>891</v>
      </c>
      <c r="P109" s="6" t="s">
        <v>997</v>
      </c>
      <c r="Q109" s="6" t="s">
        <v>997</v>
      </c>
      <c r="R109" s="6" t="s">
        <v>868</v>
      </c>
      <c r="S109" s="6" t="s">
        <v>1041</v>
      </c>
      <c r="T109" s="6" t="s">
        <v>1041</v>
      </c>
      <c r="V109" s="6" t="s">
        <v>1042</v>
      </c>
    </row>
    <row r="110" spans="1:22" x14ac:dyDescent="0.5">
      <c r="A110" s="6" t="s">
        <v>18</v>
      </c>
      <c r="B110" s="6" t="s">
        <v>698</v>
      </c>
      <c r="C110" s="6" t="s">
        <v>697</v>
      </c>
      <c r="D110" s="6" t="s">
        <v>700</v>
      </c>
      <c r="E110" s="6" t="s">
        <v>1024</v>
      </c>
      <c r="F110" s="6" t="s">
        <v>1014</v>
      </c>
      <c r="G110" s="6" t="s">
        <v>1009</v>
      </c>
      <c r="H110" s="6" t="s">
        <v>1288</v>
      </c>
      <c r="I110" s="6" t="s">
        <v>1289</v>
      </c>
      <c r="J110" s="6" t="s">
        <v>1290</v>
      </c>
      <c r="K110" s="6" t="s">
        <v>1291</v>
      </c>
      <c r="L110" s="6" t="s">
        <v>994</v>
      </c>
      <c r="M110" s="6" t="s">
        <v>891</v>
      </c>
      <c r="N110" s="6" t="s">
        <v>996</v>
      </c>
      <c r="O110" s="6" t="s">
        <v>891</v>
      </c>
      <c r="P110" s="6" t="s">
        <v>997</v>
      </c>
      <c r="Q110" s="6" t="s">
        <v>1001</v>
      </c>
      <c r="R110" s="6" t="s">
        <v>868</v>
      </c>
      <c r="S110" s="6" t="s">
        <v>1041</v>
      </c>
      <c r="T110" s="6" t="s">
        <v>1041</v>
      </c>
      <c r="V110" s="6" t="s">
        <v>1000</v>
      </c>
    </row>
    <row r="111" spans="1:22" x14ac:dyDescent="0.5">
      <c r="A111" s="6" t="s">
        <v>25</v>
      </c>
      <c r="B111" s="6" t="s">
        <v>705</v>
      </c>
      <c r="C111" s="6" t="s">
        <v>704</v>
      </c>
      <c r="D111" s="6" t="s">
        <v>707</v>
      </c>
      <c r="E111" s="6" t="s">
        <v>1013</v>
      </c>
      <c r="F111" s="6" t="s">
        <v>1008</v>
      </c>
      <c r="G111" s="6" t="s">
        <v>1009</v>
      </c>
      <c r="H111" s="6" t="s">
        <v>1100</v>
      </c>
      <c r="I111" s="6" t="s">
        <v>705</v>
      </c>
      <c r="J111" s="6" t="s">
        <v>1292</v>
      </c>
      <c r="K111" s="6" t="s">
        <v>707</v>
      </c>
      <c r="L111" s="6" t="s">
        <v>994</v>
      </c>
      <c r="M111" s="6" t="s">
        <v>891</v>
      </c>
      <c r="N111" s="6" t="s">
        <v>996</v>
      </c>
      <c r="O111" s="6" t="s">
        <v>891</v>
      </c>
      <c r="P111" s="6" t="s">
        <v>997</v>
      </c>
      <c r="Q111" s="6" t="s">
        <v>997</v>
      </c>
      <c r="S111" s="6" t="s">
        <v>1011</v>
      </c>
      <c r="T111" s="6" t="s">
        <v>1011</v>
      </c>
      <c r="V111" s="6" t="s">
        <v>1042</v>
      </c>
    </row>
    <row r="112" spans="1:22" x14ac:dyDescent="0.5">
      <c r="A112" s="6" t="s">
        <v>25</v>
      </c>
      <c r="B112" s="6" t="s">
        <v>711</v>
      </c>
      <c r="C112" s="6" t="s">
        <v>1478</v>
      </c>
      <c r="D112" s="6" t="s">
        <v>713</v>
      </c>
      <c r="E112" s="6" t="s">
        <v>1013</v>
      </c>
      <c r="F112" s="6" t="s">
        <v>1007</v>
      </c>
      <c r="G112" s="6" t="s">
        <v>1009</v>
      </c>
      <c r="H112" s="6" t="s">
        <v>1293</v>
      </c>
      <c r="I112" s="6" t="s">
        <v>711</v>
      </c>
      <c r="J112" s="6" t="s">
        <v>716</v>
      </c>
      <c r="K112" s="6" t="s">
        <v>713</v>
      </c>
      <c r="L112" s="6" t="s">
        <v>994</v>
      </c>
      <c r="M112" s="6" t="s">
        <v>891</v>
      </c>
      <c r="N112" s="6" t="s">
        <v>996</v>
      </c>
      <c r="O112" s="6" t="s">
        <v>891</v>
      </c>
      <c r="P112" s="6" t="s">
        <v>1001</v>
      </c>
      <c r="Q112" s="6" t="s">
        <v>1001</v>
      </c>
      <c r="R112" s="6" t="s">
        <v>868</v>
      </c>
      <c r="S112" s="6" t="s">
        <v>1251</v>
      </c>
      <c r="T112" s="6" t="s">
        <v>1251</v>
      </c>
      <c r="V112" s="6" t="s">
        <v>1006</v>
      </c>
    </row>
    <row r="113" spans="1:22" x14ac:dyDescent="0.5">
      <c r="A113" s="6" t="s">
        <v>25</v>
      </c>
      <c r="B113" s="6" t="s">
        <v>718</v>
      </c>
      <c r="C113" s="6" t="s">
        <v>717</v>
      </c>
      <c r="D113" s="6" t="s">
        <v>719</v>
      </c>
      <c r="E113" s="6" t="s">
        <v>990</v>
      </c>
      <c r="F113" s="6" t="s">
        <v>1013</v>
      </c>
      <c r="G113" s="6" t="s">
        <v>1009</v>
      </c>
      <c r="H113" s="6" t="s">
        <v>1294</v>
      </c>
      <c r="I113" s="6" t="s">
        <v>1295</v>
      </c>
      <c r="J113" s="6" t="s">
        <v>1296</v>
      </c>
      <c r="K113" s="6" t="s">
        <v>719</v>
      </c>
      <c r="L113" s="6" t="s">
        <v>994</v>
      </c>
      <c r="M113" s="6" t="s">
        <v>1003</v>
      </c>
      <c r="N113" s="6" t="s">
        <v>996</v>
      </c>
      <c r="O113" s="6" t="s">
        <v>1003</v>
      </c>
      <c r="P113" s="6" t="s">
        <v>997</v>
      </c>
      <c r="Q113" s="6" t="s">
        <v>997</v>
      </c>
      <c r="R113" s="6" t="s">
        <v>868</v>
      </c>
      <c r="S113" s="6" t="s">
        <v>1070</v>
      </c>
      <c r="V113" s="6" t="s">
        <v>1025</v>
      </c>
    </row>
    <row r="114" spans="1:22" x14ac:dyDescent="0.5">
      <c r="A114" s="6" t="s">
        <v>25</v>
      </c>
      <c r="B114" s="6" t="s">
        <v>724</v>
      </c>
      <c r="C114" s="6" t="s">
        <v>723</v>
      </c>
      <c r="D114" s="6" t="s">
        <v>726</v>
      </c>
      <c r="E114" s="6" t="s">
        <v>1029</v>
      </c>
      <c r="F114" s="6" t="s">
        <v>1030</v>
      </c>
      <c r="G114" s="6" t="s">
        <v>1009</v>
      </c>
      <c r="H114" s="6" t="s">
        <v>1297</v>
      </c>
      <c r="I114" s="6" t="s">
        <v>724</v>
      </c>
      <c r="J114" s="6" t="s">
        <v>729</v>
      </c>
      <c r="K114" s="6" t="s">
        <v>726</v>
      </c>
      <c r="L114" s="6" t="s">
        <v>994</v>
      </c>
      <c r="M114" s="6" t="s">
        <v>891</v>
      </c>
      <c r="N114" s="6" t="s">
        <v>996</v>
      </c>
      <c r="O114" s="6" t="s">
        <v>891</v>
      </c>
      <c r="P114" s="6" t="s">
        <v>997</v>
      </c>
      <c r="Q114" s="6" t="s">
        <v>997</v>
      </c>
      <c r="S114" s="6" t="s">
        <v>1298</v>
      </c>
      <c r="T114" s="6" t="s">
        <v>1161</v>
      </c>
      <c r="V114" s="6" t="s">
        <v>1006</v>
      </c>
    </row>
    <row r="115" spans="1:22" x14ac:dyDescent="0.5">
      <c r="A115" s="6" t="s">
        <v>25</v>
      </c>
      <c r="B115" s="6" t="s">
        <v>731</v>
      </c>
      <c r="C115" s="6" t="s">
        <v>730</v>
      </c>
      <c r="D115" s="6" t="s">
        <v>733</v>
      </c>
      <c r="E115" s="6" t="s">
        <v>1030</v>
      </c>
      <c r="F115" s="6" t="s">
        <v>1007</v>
      </c>
      <c r="G115" s="6" t="s">
        <v>1009</v>
      </c>
      <c r="H115" s="6" t="s">
        <v>1299</v>
      </c>
      <c r="I115" s="6" t="s">
        <v>731</v>
      </c>
      <c r="J115" s="6" t="s">
        <v>1300</v>
      </c>
      <c r="K115" s="6" t="s">
        <v>1301</v>
      </c>
      <c r="L115" s="6" t="s">
        <v>994</v>
      </c>
      <c r="M115" s="6" t="s">
        <v>995</v>
      </c>
      <c r="N115" s="6" t="s">
        <v>996</v>
      </c>
      <c r="O115" s="6" t="s">
        <v>995</v>
      </c>
      <c r="P115" s="6" t="s">
        <v>997</v>
      </c>
      <c r="Q115" s="6" t="s">
        <v>997</v>
      </c>
      <c r="R115" s="6" t="s">
        <v>868</v>
      </c>
      <c r="U115" s="6" t="s">
        <v>868</v>
      </c>
      <c r="V115" s="6" t="s">
        <v>1000</v>
      </c>
    </row>
    <row r="116" spans="1:22" x14ac:dyDescent="0.5">
      <c r="A116" s="6" t="s">
        <v>18</v>
      </c>
      <c r="B116" s="6" t="s">
        <v>738</v>
      </c>
      <c r="C116" s="6" t="s">
        <v>737</v>
      </c>
      <c r="D116" s="6" t="s">
        <v>740</v>
      </c>
      <c r="E116" s="6" t="s">
        <v>1452</v>
      </c>
      <c r="F116" s="6" t="s">
        <v>1029</v>
      </c>
      <c r="G116" s="6" t="s">
        <v>1009</v>
      </c>
      <c r="H116" s="6" t="s">
        <v>1302</v>
      </c>
      <c r="I116" s="6" t="s">
        <v>738</v>
      </c>
      <c r="J116" s="6" t="s">
        <v>1303</v>
      </c>
      <c r="K116" s="6" t="s">
        <v>1304</v>
      </c>
      <c r="L116" s="6" t="s">
        <v>1068</v>
      </c>
      <c r="M116" s="6" t="s">
        <v>868</v>
      </c>
      <c r="N116" s="6" t="s">
        <v>1004</v>
      </c>
      <c r="O116" s="6" t="s">
        <v>868</v>
      </c>
      <c r="P116" s="6" t="s">
        <v>997</v>
      </c>
      <c r="Q116" s="6" t="s">
        <v>997</v>
      </c>
      <c r="R116" s="6" t="s">
        <v>868</v>
      </c>
      <c r="S116" s="6" t="s">
        <v>1092</v>
      </c>
      <c r="T116" s="6" t="s">
        <v>1092</v>
      </c>
      <c r="U116" s="6" t="s">
        <v>1305</v>
      </c>
      <c r="V116" s="6" t="s">
        <v>1042</v>
      </c>
    </row>
    <row r="117" spans="1:22" x14ac:dyDescent="0.5">
      <c r="A117" s="6" t="s">
        <v>18</v>
      </c>
      <c r="B117" s="6" t="s">
        <v>745</v>
      </c>
      <c r="C117" s="6" t="s">
        <v>744</v>
      </c>
      <c r="D117" s="6" t="s">
        <v>747</v>
      </c>
      <c r="E117" s="6" t="s">
        <v>1008</v>
      </c>
      <c r="F117" s="6" t="s">
        <v>1007</v>
      </c>
      <c r="G117" s="6" t="s">
        <v>1009</v>
      </c>
      <c r="H117" s="6" t="s">
        <v>1306</v>
      </c>
      <c r="I117" s="6" t="s">
        <v>745</v>
      </c>
      <c r="J117" s="6" t="s">
        <v>750</v>
      </c>
      <c r="K117" s="6" t="s">
        <v>747</v>
      </c>
      <c r="L117" s="6" t="s">
        <v>994</v>
      </c>
      <c r="M117" s="6" t="s">
        <v>891</v>
      </c>
      <c r="N117" s="6" t="s">
        <v>996</v>
      </c>
      <c r="O117" s="6" t="s">
        <v>891</v>
      </c>
      <c r="P117" s="6" t="s">
        <v>997</v>
      </c>
      <c r="Q117" s="6" t="s">
        <v>997</v>
      </c>
      <c r="R117" s="6" t="s">
        <v>868</v>
      </c>
      <c r="S117" s="6" t="s">
        <v>1307</v>
      </c>
      <c r="T117" s="6" t="s">
        <v>1307</v>
      </c>
      <c r="U117" s="6" t="s">
        <v>868</v>
      </c>
      <c r="V117" s="6" t="s">
        <v>1006</v>
      </c>
    </row>
    <row r="118" spans="1:22" x14ac:dyDescent="0.5">
      <c r="A118" s="6" t="s">
        <v>18</v>
      </c>
      <c r="B118" s="6" t="s">
        <v>752</v>
      </c>
      <c r="C118" s="6" t="s">
        <v>751</v>
      </c>
      <c r="D118" s="6" t="s">
        <v>754</v>
      </c>
      <c r="E118" s="6" t="s">
        <v>1024</v>
      </c>
      <c r="F118" s="6" t="s">
        <v>1008</v>
      </c>
      <c r="G118" s="6" t="s">
        <v>1009</v>
      </c>
      <c r="H118" s="6" t="s">
        <v>1308</v>
      </c>
      <c r="I118" s="6" t="s">
        <v>752</v>
      </c>
      <c r="J118" s="6" t="s">
        <v>1309</v>
      </c>
      <c r="K118" s="6" t="s">
        <v>1310</v>
      </c>
      <c r="L118" s="6" t="s">
        <v>994</v>
      </c>
      <c r="M118" s="6" t="s">
        <v>891</v>
      </c>
      <c r="N118" s="6" t="s">
        <v>996</v>
      </c>
      <c r="O118" s="6" t="s">
        <v>891</v>
      </c>
      <c r="P118" s="6" t="s">
        <v>1001</v>
      </c>
      <c r="Q118" s="6" t="s">
        <v>997</v>
      </c>
      <c r="R118" s="6" t="s">
        <v>868</v>
      </c>
      <c r="S118" s="6" t="s">
        <v>1011</v>
      </c>
      <c r="T118" s="6" t="s">
        <v>1011</v>
      </c>
      <c r="U118" s="6" t="s">
        <v>868</v>
      </c>
      <c r="V118" s="6" t="s">
        <v>1000</v>
      </c>
    </row>
    <row r="119" spans="1:22" x14ac:dyDescent="0.5">
      <c r="A119" s="6" t="s">
        <v>25</v>
      </c>
      <c r="B119" s="6" t="s">
        <v>758</v>
      </c>
      <c r="C119" s="6" t="s">
        <v>1479</v>
      </c>
      <c r="D119" s="6" t="s">
        <v>760</v>
      </c>
      <c r="E119" s="6" t="s">
        <v>989</v>
      </c>
      <c r="F119" s="6" t="s">
        <v>1024</v>
      </c>
      <c r="G119" s="6" t="s">
        <v>1009</v>
      </c>
      <c r="H119" s="6" t="s">
        <v>1311</v>
      </c>
      <c r="I119" s="6" t="s">
        <v>758</v>
      </c>
      <c r="J119" s="6" t="s">
        <v>1312</v>
      </c>
      <c r="K119" s="6" t="s">
        <v>760</v>
      </c>
      <c r="L119" s="6" t="s">
        <v>994</v>
      </c>
      <c r="M119" s="6" t="s">
        <v>1095</v>
      </c>
      <c r="N119" s="6" t="s">
        <v>996</v>
      </c>
      <c r="O119" s="6" t="s">
        <v>1095</v>
      </c>
      <c r="P119" s="6" t="s">
        <v>997</v>
      </c>
      <c r="Q119" s="6" t="s">
        <v>997</v>
      </c>
      <c r="R119" s="6" t="s">
        <v>868</v>
      </c>
      <c r="S119" s="6" t="s">
        <v>1070</v>
      </c>
      <c r="T119" s="6" t="s">
        <v>1070</v>
      </c>
      <c r="U119" s="6" t="s">
        <v>868</v>
      </c>
      <c r="V119" s="6" t="s">
        <v>1006</v>
      </c>
    </row>
    <row r="120" spans="1:22" x14ac:dyDescent="0.5">
      <c r="A120" s="6" t="s">
        <v>25</v>
      </c>
      <c r="B120" s="6" t="s">
        <v>764</v>
      </c>
      <c r="C120" s="6" t="s">
        <v>195</v>
      </c>
      <c r="D120" s="6" t="s">
        <v>766</v>
      </c>
      <c r="E120" s="6" t="s">
        <v>989</v>
      </c>
      <c r="F120" s="6" t="s">
        <v>1024</v>
      </c>
      <c r="G120" s="6" t="s">
        <v>1009</v>
      </c>
      <c r="H120" s="6" t="s">
        <v>1313</v>
      </c>
      <c r="I120" s="6" t="s">
        <v>764</v>
      </c>
      <c r="J120" s="6" t="s">
        <v>768</v>
      </c>
      <c r="K120" s="6" t="s">
        <v>766</v>
      </c>
      <c r="L120" s="6" t="s">
        <v>994</v>
      </c>
      <c r="M120" s="6" t="s">
        <v>891</v>
      </c>
      <c r="N120" s="6" t="s">
        <v>996</v>
      </c>
      <c r="O120" s="6" t="s">
        <v>891</v>
      </c>
      <c r="P120" s="6" t="s">
        <v>997</v>
      </c>
      <c r="Q120" s="6" t="s">
        <v>997</v>
      </c>
      <c r="R120" s="6" t="s">
        <v>1314</v>
      </c>
      <c r="S120" s="6" t="s">
        <v>1162</v>
      </c>
      <c r="T120" s="6" t="s">
        <v>1162</v>
      </c>
      <c r="U120" s="6" t="s">
        <v>1422</v>
      </c>
      <c r="V120" s="6" t="s">
        <v>1042</v>
      </c>
    </row>
    <row r="121" spans="1:22" x14ac:dyDescent="0.5">
      <c r="A121" s="6" t="s">
        <v>18</v>
      </c>
      <c r="B121" s="6" t="s">
        <v>764</v>
      </c>
      <c r="C121" s="6" t="s">
        <v>770</v>
      </c>
      <c r="D121" s="6" t="s">
        <v>766</v>
      </c>
      <c r="E121" s="6" t="s">
        <v>1452</v>
      </c>
      <c r="F121" s="6" t="s">
        <v>990</v>
      </c>
      <c r="G121" s="6" t="s">
        <v>1009</v>
      </c>
      <c r="H121" s="6" t="s">
        <v>1313</v>
      </c>
      <c r="I121" s="6" t="s">
        <v>764</v>
      </c>
      <c r="J121" s="6" t="s">
        <v>768</v>
      </c>
      <c r="K121" s="6" t="s">
        <v>1315</v>
      </c>
      <c r="L121" s="6" t="s">
        <v>994</v>
      </c>
      <c r="M121" s="6" t="s">
        <v>891</v>
      </c>
      <c r="N121" s="6" t="s">
        <v>996</v>
      </c>
      <c r="O121" s="6" t="s">
        <v>891</v>
      </c>
      <c r="P121" s="6" t="s">
        <v>997</v>
      </c>
      <c r="Q121" s="6" t="s">
        <v>997</v>
      </c>
      <c r="R121" s="6" t="s">
        <v>998</v>
      </c>
      <c r="S121" s="6" t="s">
        <v>1162</v>
      </c>
      <c r="T121" s="6" t="s">
        <v>1162</v>
      </c>
      <c r="U121" s="6" t="s">
        <v>1422</v>
      </c>
      <c r="V121" s="6" t="s">
        <v>1042</v>
      </c>
    </row>
    <row r="122" spans="1:22" x14ac:dyDescent="0.5">
      <c r="A122" s="6" t="s">
        <v>25</v>
      </c>
      <c r="B122" s="6" t="s">
        <v>776</v>
      </c>
      <c r="C122" s="6" t="s">
        <v>782</v>
      </c>
      <c r="D122" s="6" t="s">
        <v>784</v>
      </c>
      <c r="E122" s="6" t="s">
        <v>1024</v>
      </c>
      <c r="F122" s="6" t="s">
        <v>1007</v>
      </c>
      <c r="G122" s="6" t="s">
        <v>1009</v>
      </c>
      <c r="H122" s="6" t="s">
        <v>1317</v>
      </c>
      <c r="I122" s="6" t="s">
        <v>776</v>
      </c>
      <c r="J122" s="6" t="s">
        <v>1318</v>
      </c>
      <c r="K122" s="6" t="s">
        <v>1319</v>
      </c>
      <c r="L122" s="6" t="s">
        <v>994</v>
      </c>
      <c r="M122" s="6" t="s">
        <v>891</v>
      </c>
      <c r="N122" s="6" t="s">
        <v>996</v>
      </c>
      <c r="O122" s="6" t="s">
        <v>891</v>
      </c>
      <c r="P122" s="6" t="s">
        <v>1001</v>
      </c>
      <c r="Q122" s="6" t="s">
        <v>1001</v>
      </c>
      <c r="R122" s="6" t="s">
        <v>868</v>
      </c>
      <c r="S122" s="6" t="s">
        <v>1092</v>
      </c>
      <c r="T122" s="6" t="s">
        <v>1092</v>
      </c>
      <c r="U122" s="6" t="s">
        <v>868</v>
      </c>
      <c r="V122" s="6" t="s">
        <v>1000</v>
      </c>
    </row>
    <row r="123" spans="1:22" x14ac:dyDescent="0.5">
      <c r="A123" s="6" t="s">
        <v>18</v>
      </c>
      <c r="B123" s="6" t="s">
        <v>776</v>
      </c>
      <c r="C123" s="6" t="s">
        <v>775</v>
      </c>
      <c r="D123" s="6" t="s">
        <v>778</v>
      </c>
      <c r="E123" s="6" t="s">
        <v>1030</v>
      </c>
      <c r="F123" s="6" t="s">
        <v>1014</v>
      </c>
      <c r="G123" s="6" t="s">
        <v>1009</v>
      </c>
      <c r="H123" s="6" t="s">
        <v>801</v>
      </c>
      <c r="I123" s="6" t="s">
        <v>776</v>
      </c>
      <c r="J123" s="6" t="s">
        <v>1316</v>
      </c>
      <c r="K123" s="6" t="s">
        <v>778</v>
      </c>
      <c r="L123" s="6" t="s">
        <v>994</v>
      </c>
      <c r="M123" s="6" t="s">
        <v>891</v>
      </c>
      <c r="N123" s="6" t="s">
        <v>996</v>
      </c>
      <c r="O123" s="6" t="s">
        <v>891</v>
      </c>
      <c r="P123" s="6" t="s">
        <v>997</v>
      </c>
      <c r="Q123" s="6" t="s">
        <v>997</v>
      </c>
      <c r="S123" s="6" t="s">
        <v>1023</v>
      </c>
      <c r="T123" s="6" t="s">
        <v>1023</v>
      </c>
      <c r="V123" s="6" t="s">
        <v>1042</v>
      </c>
    </row>
    <row r="124" spans="1:22" x14ac:dyDescent="0.5">
      <c r="A124" s="6" t="s">
        <v>18</v>
      </c>
      <c r="B124" s="6" t="s">
        <v>1321</v>
      </c>
      <c r="C124" s="6" t="s">
        <v>788</v>
      </c>
      <c r="D124" s="6" t="s">
        <v>790</v>
      </c>
      <c r="E124" s="6" t="s">
        <v>1013</v>
      </c>
      <c r="F124" s="6" t="s">
        <v>1014</v>
      </c>
      <c r="G124" s="6" t="s">
        <v>1009</v>
      </c>
      <c r="H124" s="6" t="s">
        <v>1320</v>
      </c>
      <c r="I124" s="6" t="s">
        <v>1321</v>
      </c>
      <c r="J124" s="6" t="s">
        <v>1322</v>
      </c>
      <c r="K124" s="6" t="s">
        <v>1323</v>
      </c>
      <c r="L124" s="6" t="s">
        <v>994</v>
      </c>
      <c r="M124" s="6" t="s">
        <v>891</v>
      </c>
      <c r="N124" s="6" t="s">
        <v>996</v>
      </c>
      <c r="O124" s="6" t="s">
        <v>891</v>
      </c>
      <c r="P124" s="6" t="s">
        <v>997</v>
      </c>
      <c r="Q124" s="6" t="s">
        <v>997</v>
      </c>
      <c r="S124" s="6" t="s">
        <v>1118</v>
      </c>
      <c r="T124" s="6" t="s">
        <v>1118</v>
      </c>
      <c r="V124" s="6" t="s">
        <v>1000</v>
      </c>
    </row>
    <row r="125" spans="1:22" x14ac:dyDescent="0.5">
      <c r="A125" s="6" t="s">
        <v>18</v>
      </c>
      <c r="B125" s="6" t="s">
        <v>795</v>
      </c>
      <c r="C125" s="6" t="s">
        <v>794</v>
      </c>
      <c r="D125" s="6" t="s">
        <v>797</v>
      </c>
      <c r="E125" s="6" t="s">
        <v>1043</v>
      </c>
      <c r="F125" s="6" t="s">
        <v>1030</v>
      </c>
      <c r="G125" s="6" t="s">
        <v>1009</v>
      </c>
      <c r="H125" s="6" t="s">
        <v>1324</v>
      </c>
      <c r="I125" s="6" t="s">
        <v>795</v>
      </c>
      <c r="J125" s="6" t="s">
        <v>1325</v>
      </c>
      <c r="K125" s="6" t="s">
        <v>1326</v>
      </c>
      <c r="L125" s="6" t="s">
        <v>994</v>
      </c>
      <c r="M125" s="6" t="s">
        <v>891</v>
      </c>
      <c r="N125" s="6" t="s">
        <v>996</v>
      </c>
      <c r="O125" s="6" t="s">
        <v>891</v>
      </c>
      <c r="P125" s="6" t="s">
        <v>997</v>
      </c>
      <c r="Q125" s="6" t="s">
        <v>997</v>
      </c>
      <c r="R125" s="6" t="s">
        <v>868</v>
      </c>
      <c r="S125" s="6" t="s">
        <v>1011</v>
      </c>
      <c r="T125" s="6" t="s">
        <v>1011</v>
      </c>
      <c r="V125" s="6" t="s">
        <v>1000</v>
      </c>
    </row>
    <row r="126" spans="1:22" x14ac:dyDescent="0.5">
      <c r="A126" s="6" t="s">
        <v>18</v>
      </c>
      <c r="B126" s="6" t="s">
        <v>795</v>
      </c>
      <c r="C126" s="6" t="s">
        <v>801</v>
      </c>
      <c r="D126" s="6" t="s">
        <v>802</v>
      </c>
      <c r="E126" s="6" t="s">
        <v>1043</v>
      </c>
      <c r="F126" s="6" t="s">
        <v>1007</v>
      </c>
      <c r="G126" s="6" t="s">
        <v>1009</v>
      </c>
      <c r="H126" s="6" t="s">
        <v>1324</v>
      </c>
      <c r="I126" s="6" t="s">
        <v>795</v>
      </c>
      <c r="J126" s="6" t="s">
        <v>1325</v>
      </c>
      <c r="K126" s="6" t="s">
        <v>1326</v>
      </c>
      <c r="L126" s="6" t="s">
        <v>994</v>
      </c>
      <c r="M126" s="6" t="s">
        <v>891</v>
      </c>
      <c r="N126" s="6" t="s">
        <v>996</v>
      </c>
      <c r="O126" s="6" t="s">
        <v>891</v>
      </c>
      <c r="P126" s="6" t="s">
        <v>997</v>
      </c>
      <c r="Q126" s="6" t="s">
        <v>997</v>
      </c>
      <c r="R126" s="6" t="s">
        <v>868</v>
      </c>
      <c r="S126" s="6" t="s">
        <v>1011</v>
      </c>
      <c r="T126" s="6" t="s">
        <v>1011</v>
      </c>
      <c r="V126" s="6" t="s">
        <v>1000</v>
      </c>
    </row>
    <row r="127" spans="1:22" x14ac:dyDescent="0.5">
      <c r="A127" s="6" t="s">
        <v>18</v>
      </c>
      <c r="B127" s="6" t="s">
        <v>807</v>
      </c>
      <c r="C127" s="6" t="s">
        <v>806</v>
      </c>
      <c r="D127" s="6" t="s">
        <v>809</v>
      </c>
      <c r="E127" s="6" t="s">
        <v>1452</v>
      </c>
      <c r="F127" s="6" t="s">
        <v>1024</v>
      </c>
      <c r="G127" s="6" t="s">
        <v>1009</v>
      </c>
      <c r="H127" s="6" t="s">
        <v>1327</v>
      </c>
      <c r="I127" s="6" t="s">
        <v>1328</v>
      </c>
      <c r="J127" s="6" t="s">
        <v>1329</v>
      </c>
      <c r="K127" s="6" t="s">
        <v>1330</v>
      </c>
      <c r="L127" s="6" t="s">
        <v>994</v>
      </c>
      <c r="M127" s="6" t="s">
        <v>995</v>
      </c>
      <c r="N127" s="6" t="s">
        <v>996</v>
      </c>
      <c r="O127" s="6" t="s">
        <v>995</v>
      </c>
      <c r="P127" s="6" t="s">
        <v>997</v>
      </c>
      <c r="Q127" s="6" t="s">
        <v>1001</v>
      </c>
      <c r="R127" s="6" t="s">
        <v>868</v>
      </c>
      <c r="S127" s="6" t="s">
        <v>1041</v>
      </c>
      <c r="T127" s="6" t="s">
        <v>1041</v>
      </c>
      <c r="V127" s="6" t="s">
        <v>1000</v>
      </c>
    </row>
    <row r="128" spans="1:22" x14ac:dyDescent="0.5">
      <c r="A128" s="6" t="s">
        <v>25</v>
      </c>
      <c r="B128" s="6" t="s">
        <v>814</v>
      </c>
      <c r="C128" s="6" t="s">
        <v>813</v>
      </c>
      <c r="D128" s="6" t="s">
        <v>816</v>
      </c>
      <c r="E128" s="6" t="s">
        <v>989</v>
      </c>
      <c r="F128" s="6" t="s">
        <v>1013</v>
      </c>
      <c r="G128" s="6" t="s">
        <v>1009</v>
      </c>
      <c r="H128" s="6" t="s">
        <v>452</v>
      </c>
      <c r="I128" s="6" t="s">
        <v>1331</v>
      </c>
      <c r="J128" s="6" t="s">
        <v>1332</v>
      </c>
      <c r="K128" s="6" t="s">
        <v>1333</v>
      </c>
      <c r="L128" s="6" t="s">
        <v>994</v>
      </c>
      <c r="M128" s="6" t="s">
        <v>891</v>
      </c>
      <c r="N128" s="6" t="s">
        <v>996</v>
      </c>
      <c r="O128" s="6" t="s">
        <v>891</v>
      </c>
      <c r="P128" s="6" t="s">
        <v>997</v>
      </c>
      <c r="Q128" s="6" t="s">
        <v>997</v>
      </c>
      <c r="R128" s="6" t="s">
        <v>868</v>
      </c>
      <c r="S128" s="6" t="s">
        <v>1092</v>
      </c>
      <c r="T128" s="6" t="s">
        <v>1092</v>
      </c>
      <c r="V128" s="6" t="s">
        <v>1006</v>
      </c>
    </row>
    <row r="129" spans="1:22" x14ac:dyDescent="0.5">
      <c r="A129" s="6" t="s">
        <v>25</v>
      </c>
      <c r="B129" s="6" t="s">
        <v>820</v>
      </c>
      <c r="C129" s="6" t="s">
        <v>819</v>
      </c>
      <c r="D129" s="6" t="s">
        <v>822</v>
      </c>
      <c r="E129" s="6" t="s">
        <v>1013</v>
      </c>
      <c r="F129" s="6" t="s">
        <v>1024</v>
      </c>
      <c r="G129" s="6" t="s">
        <v>1009</v>
      </c>
      <c r="H129" s="6" t="s">
        <v>1334</v>
      </c>
      <c r="I129" s="6" t="s">
        <v>820</v>
      </c>
      <c r="J129" s="6" t="s">
        <v>1335</v>
      </c>
      <c r="K129" s="6" t="s">
        <v>822</v>
      </c>
      <c r="L129" s="6" t="s">
        <v>994</v>
      </c>
      <c r="M129" s="6" t="s">
        <v>995</v>
      </c>
      <c r="N129" s="6" t="s">
        <v>996</v>
      </c>
      <c r="O129" s="6" t="s">
        <v>995</v>
      </c>
      <c r="P129" s="6" t="s">
        <v>997</v>
      </c>
      <c r="Q129" s="6" t="s">
        <v>997</v>
      </c>
      <c r="R129" s="6" t="s">
        <v>868</v>
      </c>
      <c r="S129" s="6" t="s">
        <v>1041</v>
      </c>
      <c r="T129" s="6" t="s">
        <v>1041</v>
      </c>
      <c r="V129" s="6" t="s">
        <v>1012</v>
      </c>
    </row>
    <row r="130" spans="1:22" x14ac:dyDescent="0.5">
      <c r="A130" s="6" t="s">
        <v>25</v>
      </c>
      <c r="B130" s="6" t="s">
        <v>827</v>
      </c>
      <c r="C130" s="6" t="s">
        <v>826</v>
      </c>
      <c r="D130" s="6" t="s">
        <v>828</v>
      </c>
      <c r="E130" s="6" t="s">
        <v>1024</v>
      </c>
      <c r="F130" s="6" t="s">
        <v>1029</v>
      </c>
      <c r="G130" s="6" t="s">
        <v>1009</v>
      </c>
      <c r="H130" s="6" t="s">
        <v>378</v>
      </c>
      <c r="I130" s="6" t="s">
        <v>1256</v>
      </c>
      <c r="J130" s="6" t="s">
        <v>1257</v>
      </c>
      <c r="K130" s="6" t="s">
        <v>1336</v>
      </c>
      <c r="L130" s="6" t="s">
        <v>994</v>
      </c>
      <c r="M130" s="6" t="s">
        <v>995</v>
      </c>
      <c r="N130" s="6" t="s">
        <v>996</v>
      </c>
      <c r="O130" s="6" t="s">
        <v>995</v>
      </c>
      <c r="P130" s="6" t="s">
        <v>997</v>
      </c>
      <c r="Q130" s="6" t="s">
        <v>997</v>
      </c>
      <c r="S130" s="6" t="s">
        <v>1041</v>
      </c>
      <c r="V130" s="6" t="s">
        <v>1006</v>
      </c>
    </row>
    <row r="131" spans="1:22" x14ac:dyDescent="0.5">
      <c r="A131" s="6" t="s">
        <v>18</v>
      </c>
      <c r="B131" s="6" t="s">
        <v>832</v>
      </c>
      <c r="C131" s="6" t="s">
        <v>831</v>
      </c>
      <c r="D131" s="6" t="s">
        <v>834</v>
      </c>
      <c r="E131" s="6" t="s">
        <v>1043</v>
      </c>
      <c r="F131" s="6" t="s">
        <v>1013</v>
      </c>
      <c r="G131" s="6" t="s">
        <v>1009</v>
      </c>
      <c r="H131" s="6" t="s">
        <v>1337</v>
      </c>
      <c r="I131" s="6" t="s">
        <v>832</v>
      </c>
      <c r="J131" s="6" t="s">
        <v>1338</v>
      </c>
      <c r="K131" s="6" t="s">
        <v>1339</v>
      </c>
      <c r="L131" s="6" t="s">
        <v>994</v>
      </c>
      <c r="M131" s="6" t="s">
        <v>891</v>
      </c>
      <c r="N131" s="6" t="s">
        <v>996</v>
      </c>
      <c r="O131" s="6" t="s">
        <v>891</v>
      </c>
      <c r="P131" s="6" t="s">
        <v>997</v>
      </c>
      <c r="Q131" s="6" t="s">
        <v>997</v>
      </c>
      <c r="R131" s="6" t="s">
        <v>868</v>
      </c>
      <c r="S131" s="6" t="s">
        <v>1023</v>
      </c>
      <c r="T131" s="6" t="s">
        <v>1023</v>
      </c>
      <c r="V131" s="6" t="s">
        <v>1064</v>
      </c>
    </row>
    <row r="132" spans="1:22" ht="27.75" customHeight="1" x14ac:dyDescent="0.5">
      <c r="A132" s="6" t="s">
        <v>18</v>
      </c>
      <c r="B132" s="6" t="s">
        <v>839</v>
      </c>
      <c r="C132" s="6" t="s">
        <v>849</v>
      </c>
      <c r="D132" s="6" t="s">
        <v>841</v>
      </c>
      <c r="E132" s="6" t="s">
        <v>1452</v>
      </c>
      <c r="F132" s="6" t="s">
        <v>1030</v>
      </c>
      <c r="G132" s="6" t="s">
        <v>1009</v>
      </c>
      <c r="H132" s="6" t="s">
        <v>1340</v>
      </c>
      <c r="I132" s="6" t="s">
        <v>1343</v>
      </c>
      <c r="J132" s="6" t="s">
        <v>1342</v>
      </c>
      <c r="K132" s="6" t="s">
        <v>841</v>
      </c>
      <c r="L132" s="6" t="s">
        <v>1068</v>
      </c>
      <c r="M132" s="6" t="s">
        <v>868</v>
      </c>
      <c r="N132" s="6" t="s">
        <v>1004</v>
      </c>
      <c r="O132" s="6" t="s">
        <v>868</v>
      </c>
      <c r="P132" s="6" t="s">
        <v>997</v>
      </c>
      <c r="Q132" s="6" t="s">
        <v>1001</v>
      </c>
      <c r="R132" s="6" t="s">
        <v>1418</v>
      </c>
      <c r="S132" s="6" t="s">
        <v>1011</v>
      </c>
      <c r="T132" s="6" t="s">
        <v>1011</v>
      </c>
      <c r="U132" s="8" t="s">
        <v>1435</v>
      </c>
      <c r="V132" s="6" t="s">
        <v>1000</v>
      </c>
    </row>
    <row r="133" spans="1:22" ht="19.5" customHeight="1" x14ac:dyDescent="0.5">
      <c r="A133" s="6" t="s">
        <v>25</v>
      </c>
      <c r="B133" s="6" t="s">
        <v>839</v>
      </c>
      <c r="C133" s="6" t="s">
        <v>845</v>
      </c>
      <c r="D133" s="6" t="s">
        <v>841</v>
      </c>
      <c r="E133" s="6" t="s">
        <v>1030</v>
      </c>
      <c r="F133" s="6" t="s">
        <v>1007</v>
      </c>
      <c r="G133" s="6" t="s">
        <v>1009</v>
      </c>
      <c r="H133" s="6" t="s">
        <v>1340</v>
      </c>
      <c r="I133" s="6" t="s">
        <v>1343</v>
      </c>
      <c r="J133" s="6" t="s">
        <v>1342</v>
      </c>
      <c r="K133" s="6" t="s">
        <v>841</v>
      </c>
      <c r="L133" s="6" t="s">
        <v>1068</v>
      </c>
      <c r="M133" s="6" t="s">
        <v>868</v>
      </c>
      <c r="N133" s="6" t="s">
        <v>996</v>
      </c>
      <c r="O133" s="6" t="s">
        <v>891</v>
      </c>
      <c r="P133" s="6" t="s">
        <v>997</v>
      </c>
      <c r="Q133" s="6" t="s">
        <v>1001</v>
      </c>
      <c r="R133" s="6" t="s">
        <v>868</v>
      </c>
      <c r="S133" s="6" t="s">
        <v>1011</v>
      </c>
      <c r="T133" s="6" t="s">
        <v>1011</v>
      </c>
      <c r="U133" s="8" t="s">
        <v>1436</v>
      </c>
      <c r="V133" s="6" t="s">
        <v>1000</v>
      </c>
    </row>
    <row r="134" spans="1:22" x14ac:dyDescent="0.5">
      <c r="A134" s="6" t="s">
        <v>25</v>
      </c>
      <c r="B134" s="6" t="s">
        <v>839</v>
      </c>
      <c r="C134" s="6" t="s">
        <v>838</v>
      </c>
      <c r="D134" s="6" t="s">
        <v>841</v>
      </c>
      <c r="E134" s="6" t="s">
        <v>1452</v>
      </c>
      <c r="F134" s="6" t="s">
        <v>1024</v>
      </c>
      <c r="G134" s="139" t="s">
        <v>1465</v>
      </c>
      <c r="H134" s="6" t="s">
        <v>1340</v>
      </c>
      <c r="I134" s="6" t="s">
        <v>1341</v>
      </c>
      <c r="J134" s="6" t="s">
        <v>1342</v>
      </c>
      <c r="K134" s="6" t="s">
        <v>841</v>
      </c>
      <c r="L134" s="6" t="s">
        <v>1068</v>
      </c>
      <c r="M134" s="6" t="s">
        <v>868</v>
      </c>
      <c r="N134" s="6" t="s">
        <v>996</v>
      </c>
      <c r="O134" s="6" t="s">
        <v>891</v>
      </c>
      <c r="P134" s="6" t="s">
        <v>997</v>
      </c>
      <c r="Q134" s="6" t="s">
        <v>1001</v>
      </c>
      <c r="R134" s="6" t="s">
        <v>868</v>
      </c>
      <c r="S134" s="6" t="s">
        <v>1011</v>
      </c>
      <c r="T134" s="6" t="s">
        <v>1011</v>
      </c>
      <c r="V134" s="6" t="s">
        <v>1042</v>
      </c>
    </row>
    <row r="135" spans="1:22" x14ac:dyDescent="0.5">
      <c r="A135" s="6" t="s">
        <v>18</v>
      </c>
      <c r="B135" s="6" t="s">
        <v>853</v>
      </c>
      <c r="C135" s="6" t="s">
        <v>595</v>
      </c>
      <c r="D135" s="6" t="s">
        <v>855</v>
      </c>
      <c r="E135" s="6" t="s">
        <v>1008</v>
      </c>
      <c r="F135" s="6" t="s">
        <v>990</v>
      </c>
      <c r="G135" s="6" t="s">
        <v>1009</v>
      </c>
      <c r="H135" s="6" t="s">
        <v>1344</v>
      </c>
      <c r="I135" s="6" t="s">
        <v>853</v>
      </c>
      <c r="J135" s="6" t="s">
        <v>1345</v>
      </c>
      <c r="K135" s="6" t="s">
        <v>1346</v>
      </c>
      <c r="L135" s="6" t="s">
        <v>994</v>
      </c>
      <c r="M135" s="6" t="s">
        <v>891</v>
      </c>
      <c r="N135" s="6" t="s">
        <v>996</v>
      </c>
      <c r="O135" s="6" t="s">
        <v>891</v>
      </c>
      <c r="P135" s="6" t="s">
        <v>997</v>
      </c>
      <c r="Q135" s="6" t="s">
        <v>997</v>
      </c>
      <c r="R135" s="6" t="s">
        <v>868</v>
      </c>
      <c r="S135" s="6" t="s">
        <v>1251</v>
      </c>
      <c r="T135" s="6" t="s">
        <v>1347</v>
      </c>
      <c r="U135" s="6" t="s">
        <v>1348</v>
      </c>
      <c r="V135" s="6" t="s">
        <v>1000</v>
      </c>
    </row>
  </sheetData>
  <mergeCells count="2">
    <mergeCell ref="A1:F1"/>
    <mergeCell ref="A2:F2"/>
  </mergeCells>
  <pageMargins left="0.7" right="0.7" top="0.78740157499999996" bottom="0.78740157499999996" header="0.3" footer="0.3"/>
  <pageSetup paperSize="8" scale="19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75E9A-D115-4BD6-BECE-849A936E7262}">
  <sheetPr>
    <pageSetUpPr fitToPage="1"/>
  </sheetPr>
  <dimension ref="A1:T196"/>
  <sheetViews>
    <sheetView zoomScale="80" zoomScaleNormal="80" zoomScaleSheetLayoutView="40" workbookViewId="0">
      <selection activeCell="E165" sqref="E165"/>
    </sheetView>
  </sheetViews>
  <sheetFormatPr baseColWidth="10" defaultRowHeight="21" x14ac:dyDescent="0.5"/>
  <cols>
    <col min="1" max="1" width="11.54296875" style="6" customWidth="1"/>
    <col min="2" max="2" width="23.453125" style="6" bestFit="1" customWidth="1"/>
    <col min="3" max="3" width="21.26953125" style="6" bestFit="1" customWidth="1"/>
    <col min="4" max="4" width="20.81640625" style="6" bestFit="1" customWidth="1"/>
    <col min="5" max="5" width="24.453125" style="6" bestFit="1" customWidth="1"/>
    <col min="6" max="6" width="31.54296875" style="6" bestFit="1" customWidth="1"/>
    <col min="7" max="7" width="76.54296875" style="6" bestFit="1" customWidth="1"/>
    <col min="8" max="8" width="24.453125" style="6" customWidth="1"/>
    <col min="9" max="9" width="27" style="6" customWidth="1"/>
    <col min="10" max="10" width="27" style="6" bestFit="1" customWidth="1"/>
    <col min="11" max="11" width="53.26953125" style="6" bestFit="1" customWidth="1"/>
    <col min="12" max="12" width="23.453125" style="6" bestFit="1" customWidth="1"/>
    <col min="13" max="13" width="97.26953125" style="8" bestFit="1" customWidth="1"/>
  </cols>
  <sheetData>
    <row r="1" spans="1:20" x14ac:dyDescent="0.5">
      <c r="A1" s="5" t="s">
        <v>0</v>
      </c>
      <c r="B1" s="5"/>
      <c r="C1" s="5"/>
      <c r="D1" s="5"/>
      <c r="E1" s="5"/>
      <c r="F1" s="5"/>
      <c r="I1" s="7" t="s">
        <v>1</v>
      </c>
      <c r="J1" s="6">
        <f>COUNTIF(A6:A15,"Herr")</f>
        <v>0</v>
      </c>
      <c r="T1" s="3"/>
    </row>
    <row r="2" spans="1:20" x14ac:dyDescent="0.5">
      <c r="A2" s="5" t="s">
        <v>3</v>
      </c>
      <c r="B2" s="5"/>
      <c r="C2" s="5"/>
      <c r="D2" s="5"/>
      <c r="E2" s="5"/>
      <c r="F2" s="5"/>
      <c r="I2" s="7" t="s">
        <v>4</v>
      </c>
      <c r="J2" s="6">
        <f>COUNTIF(A6:A15,"Frau")</f>
        <v>10</v>
      </c>
      <c r="K2" s="5"/>
      <c r="T2" s="4"/>
    </row>
    <row r="3" spans="1:20" x14ac:dyDescent="0.5">
      <c r="A3" s="5" t="s">
        <v>6</v>
      </c>
      <c r="B3" s="5"/>
      <c r="C3" s="5"/>
      <c r="D3" s="5"/>
      <c r="E3" s="5"/>
      <c r="F3" s="5"/>
      <c r="I3" s="7"/>
    </row>
    <row r="4" spans="1:20" x14ac:dyDescent="0.5">
      <c r="E4" s="9"/>
      <c r="I4" s="10" t="s">
        <v>9</v>
      </c>
      <c r="J4" s="5">
        <f>SUM(J1:J2)</f>
        <v>10</v>
      </c>
    </row>
    <row r="5" spans="1:20" ht="21.5" thickBot="1" x14ac:dyDescent="0.55000000000000004">
      <c r="A5" s="11" t="s">
        <v>10</v>
      </c>
      <c r="B5" s="12" t="s">
        <v>11</v>
      </c>
      <c r="C5" s="12" t="s">
        <v>12</v>
      </c>
      <c r="D5" s="12" t="s">
        <v>15</v>
      </c>
      <c r="E5" s="12" t="s">
        <v>16</v>
      </c>
      <c r="F5" s="12" t="s">
        <v>1446</v>
      </c>
      <c r="G5" s="12" t="s">
        <v>973</v>
      </c>
      <c r="H5" s="12" t="s">
        <v>1447</v>
      </c>
      <c r="I5" s="12" t="s">
        <v>1448</v>
      </c>
      <c r="J5" s="12" t="s">
        <v>1449</v>
      </c>
      <c r="K5" s="12" t="s">
        <v>1450</v>
      </c>
      <c r="L5" s="12" t="s">
        <v>984</v>
      </c>
      <c r="M5" s="13" t="s">
        <v>987</v>
      </c>
    </row>
    <row r="6" spans="1:20" ht="21.5" thickTop="1" x14ac:dyDescent="0.5">
      <c r="A6" s="14" t="s">
        <v>18</v>
      </c>
      <c r="B6" s="15" t="s">
        <v>115</v>
      </c>
      <c r="C6" s="15" t="s">
        <v>116</v>
      </c>
      <c r="D6" s="15" t="s">
        <v>129</v>
      </c>
      <c r="E6" s="15" t="s">
        <v>130</v>
      </c>
      <c r="F6" s="15" t="s">
        <v>1451</v>
      </c>
      <c r="G6" s="15" t="s">
        <v>1009</v>
      </c>
      <c r="H6" s="15" t="s">
        <v>1049</v>
      </c>
      <c r="I6" s="15" t="s">
        <v>116</v>
      </c>
      <c r="J6" s="15" t="s">
        <v>1050</v>
      </c>
      <c r="K6" s="15" t="s">
        <v>1051</v>
      </c>
      <c r="L6" s="15" t="s">
        <v>1487</v>
      </c>
      <c r="M6" s="16"/>
    </row>
    <row r="7" spans="1:20" x14ac:dyDescent="0.5">
      <c r="A7" s="14" t="s">
        <v>18</v>
      </c>
      <c r="B7" s="15" t="s">
        <v>161</v>
      </c>
      <c r="C7" s="15" t="s">
        <v>162</v>
      </c>
      <c r="D7" s="15" t="s">
        <v>165</v>
      </c>
      <c r="E7" s="15" t="s">
        <v>167</v>
      </c>
      <c r="F7" s="15" t="s">
        <v>1451</v>
      </c>
      <c r="G7" s="15" t="s">
        <v>1009</v>
      </c>
      <c r="H7" s="15" t="s">
        <v>1076</v>
      </c>
      <c r="I7" s="15" t="s">
        <v>162</v>
      </c>
      <c r="J7" s="15" t="s">
        <v>1077</v>
      </c>
      <c r="K7" s="15" t="s">
        <v>1078</v>
      </c>
      <c r="L7" s="15" t="s">
        <v>1487</v>
      </c>
      <c r="M7" s="16"/>
    </row>
    <row r="8" spans="1:20" x14ac:dyDescent="0.5">
      <c r="A8" s="17" t="s">
        <v>18</v>
      </c>
      <c r="B8" s="18" t="s">
        <v>238</v>
      </c>
      <c r="C8" s="18" t="s">
        <v>232</v>
      </c>
      <c r="D8" s="18" t="s">
        <v>239</v>
      </c>
      <c r="E8" s="18" t="s">
        <v>241</v>
      </c>
      <c r="F8" s="15" t="s">
        <v>1451</v>
      </c>
      <c r="G8" s="18" t="s">
        <v>1009</v>
      </c>
      <c r="H8" s="18" t="s">
        <v>1080</v>
      </c>
      <c r="I8" s="18" t="s">
        <v>232</v>
      </c>
      <c r="J8" s="18" t="s">
        <v>1115</v>
      </c>
      <c r="K8" s="18" t="s">
        <v>234</v>
      </c>
      <c r="L8" s="15" t="s">
        <v>868</v>
      </c>
      <c r="M8" s="16"/>
    </row>
    <row r="9" spans="1:20" x14ac:dyDescent="0.5">
      <c r="A9" s="17" t="s">
        <v>18</v>
      </c>
      <c r="B9" s="18" t="s">
        <v>338</v>
      </c>
      <c r="C9" s="18" t="s">
        <v>339</v>
      </c>
      <c r="D9" s="18" t="s">
        <v>342</v>
      </c>
      <c r="E9" s="18" t="s">
        <v>344</v>
      </c>
      <c r="F9" s="15" t="s">
        <v>1451</v>
      </c>
      <c r="G9" s="18" t="s">
        <v>1009</v>
      </c>
      <c r="H9" s="18" t="s">
        <v>1151</v>
      </c>
      <c r="I9" s="18" t="s">
        <v>339</v>
      </c>
      <c r="J9" s="18" t="s">
        <v>1152</v>
      </c>
      <c r="K9" s="18" t="s">
        <v>341</v>
      </c>
      <c r="L9" s="18" t="s">
        <v>868</v>
      </c>
      <c r="M9" s="19"/>
    </row>
    <row r="10" spans="1:20" x14ac:dyDescent="0.5">
      <c r="A10" s="17" t="s">
        <v>18</v>
      </c>
      <c r="B10" s="18" t="s">
        <v>345</v>
      </c>
      <c r="C10" s="18" t="s">
        <v>346</v>
      </c>
      <c r="D10" s="18" t="s">
        <v>349</v>
      </c>
      <c r="E10" s="18" t="s">
        <v>351</v>
      </c>
      <c r="F10" s="15" t="s">
        <v>1451</v>
      </c>
      <c r="G10" s="18" t="s">
        <v>1009</v>
      </c>
      <c r="H10" s="18" t="s">
        <v>1153</v>
      </c>
      <c r="I10" s="18" t="s">
        <v>1154</v>
      </c>
      <c r="J10" s="18" t="s">
        <v>1155</v>
      </c>
      <c r="K10" s="18" t="s">
        <v>353</v>
      </c>
      <c r="L10" s="18" t="s">
        <v>868</v>
      </c>
      <c r="M10" s="19"/>
    </row>
    <row r="11" spans="1:20" x14ac:dyDescent="0.5">
      <c r="A11" s="17" t="s">
        <v>18</v>
      </c>
      <c r="B11" s="18" t="s">
        <v>364</v>
      </c>
      <c r="C11" s="18" t="s">
        <v>365</v>
      </c>
      <c r="D11" s="18" t="s">
        <v>368</v>
      </c>
      <c r="E11" s="18" t="s">
        <v>370</v>
      </c>
      <c r="F11" s="15" t="s">
        <v>1451</v>
      </c>
      <c r="G11" s="18" t="s">
        <v>1009</v>
      </c>
      <c r="H11" s="18" t="s">
        <v>1163</v>
      </c>
      <c r="I11" s="18" t="s">
        <v>365</v>
      </c>
      <c r="J11" s="18" t="s">
        <v>1164</v>
      </c>
      <c r="K11" s="18" t="s">
        <v>1165</v>
      </c>
      <c r="L11" s="18" t="s">
        <v>868</v>
      </c>
      <c r="M11" s="19"/>
    </row>
    <row r="12" spans="1:20" x14ac:dyDescent="0.5">
      <c r="A12" s="14" t="s">
        <v>18</v>
      </c>
      <c r="B12" s="15" t="s">
        <v>489</v>
      </c>
      <c r="C12" s="15" t="s">
        <v>483</v>
      </c>
      <c r="D12" s="15" t="s">
        <v>491</v>
      </c>
      <c r="E12" s="15" t="s">
        <v>493</v>
      </c>
      <c r="F12" s="15" t="s">
        <v>1451</v>
      </c>
      <c r="G12" s="15" t="s">
        <v>1009</v>
      </c>
      <c r="H12" s="15" t="s">
        <v>801</v>
      </c>
      <c r="I12" s="15" t="s">
        <v>483</v>
      </c>
      <c r="J12" s="15" t="s">
        <v>1215</v>
      </c>
      <c r="K12" s="15" t="s">
        <v>1216</v>
      </c>
      <c r="L12" s="15"/>
      <c r="M12" s="16"/>
    </row>
    <row r="13" spans="1:20" x14ac:dyDescent="0.5">
      <c r="A13" s="17" t="s">
        <v>18</v>
      </c>
      <c r="B13" s="18" t="s">
        <v>648</v>
      </c>
      <c r="C13" s="18" t="s">
        <v>647</v>
      </c>
      <c r="D13" s="18" t="s">
        <v>651</v>
      </c>
      <c r="E13" s="18" t="s">
        <v>653</v>
      </c>
      <c r="F13" s="15" t="s">
        <v>1451</v>
      </c>
      <c r="G13" s="18" t="s">
        <v>1009</v>
      </c>
      <c r="H13" s="18" t="s">
        <v>1275</v>
      </c>
      <c r="I13" s="18" t="s">
        <v>1276</v>
      </c>
      <c r="J13" s="18" t="s">
        <v>1277</v>
      </c>
      <c r="K13" s="18" t="s">
        <v>650</v>
      </c>
      <c r="L13" s="15"/>
      <c r="M13" s="16"/>
    </row>
    <row r="14" spans="1:20" x14ac:dyDescent="0.5">
      <c r="A14" s="17" t="s">
        <v>18</v>
      </c>
      <c r="B14" s="18" t="s">
        <v>744</v>
      </c>
      <c r="C14" s="18" t="s">
        <v>745</v>
      </c>
      <c r="D14" s="18" t="s">
        <v>748</v>
      </c>
      <c r="E14" s="18" t="s">
        <v>750</v>
      </c>
      <c r="F14" s="15" t="s">
        <v>1451</v>
      </c>
      <c r="G14" s="18" t="s">
        <v>1009</v>
      </c>
      <c r="H14" s="18" t="s">
        <v>1306</v>
      </c>
      <c r="I14" s="18" t="s">
        <v>745</v>
      </c>
      <c r="J14" s="18" t="s">
        <v>750</v>
      </c>
      <c r="K14" s="18" t="s">
        <v>747</v>
      </c>
      <c r="L14" s="18" t="s">
        <v>868</v>
      </c>
      <c r="M14" s="19"/>
    </row>
    <row r="15" spans="1:20" ht="42" x14ac:dyDescent="0.5">
      <c r="A15" s="17" t="s">
        <v>18</v>
      </c>
      <c r="B15" s="18" t="s">
        <v>595</v>
      </c>
      <c r="C15" s="18" t="s">
        <v>853</v>
      </c>
      <c r="D15" s="18" t="s">
        <v>856</v>
      </c>
      <c r="E15" s="18" t="s">
        <v>858</v>
      </c>
      <c r="F15" s="15" t="s">
        <v>1451</v>
      </c>
      <c r="G15" s="18" t="s">
        <v>1009</v>
      </c>
      <c r="H15" s="18" t="s">
        <v>1344</v>
      </c>
      <c r="I15" s="18" t="s">
        <v>853</v>
      </c>
      <c r="J15" s="18" t="s">
        <v>1345</v>
      </c>
      <c r="K15" s="18" t="s">
        <v>1346</v>
      </c>
      <c r="L15" s="18" t="s">
        <v>868</v>
      </c>
      <c r="M15" s="19" t="s">
        <v>1037</v>
      </c>
    </row>
    <row r="18" spans="1:13" x14ac:dyDescent="0.5">
      <c r="A18" s="5" t="s">
        <v>0</v>
      </c>
      <c r="B18" s="5"/>
      <c r="C18" s="5"/>
      <c r="D18" s="5"/>
      <c r="E18" s="5"/>
      <c r="F18" s="5"/>
      <c r="I18" s="7" t="s">
        <v>1</v>
      </c>
      <c r="J18" s="6">
        <f>COUNTIF(A23:A41,"Herr")</f>
        <v>16</v>
      </c>
    </row>
    <row r="19" spans="1:13" x14ac:dyDescent="0.5">
      <c r="A19" s="5" t="s">
        <v>3</v>
      </c>
      <c r="B19" s="5"/>
      <c r="C19" s="5"/>
      <c r="D19" s="5"/>
      <c r="E19" s="5"/>
      <c r="F19" s="5"/>
      <c r="I19" s="7" t="s">
        <v>4</v>
      </c>
      <c r="J19" s="6">
        <f>COUNTIF(A23:A41,"Frau")</f>
        <v>3</v>
      </c>
    </row>
    <row r="20" spans="1:13" x14ac:dyDescent="0.5">
      <c r="A20" s="5" t="s">
        <v>6</v>
      </c>
      <c r="B20" s="5"/>
      <c r="C20" s="5"/>
      <c r="D20" s="5"/>
      <c r="E20" s="5"/>
      <c r="F20" s="5"/>
      <c r="I20" s="7"/>
    </row>
    <row r="21" spans="1:13" x14ac:dyDescent="0.5">
      <c r="E21" s="9"/>
      <c r="I21" s="10" t="s">
        <v>9</v>
      </c>
      <c r="J21" s="5">
        <f>SUM(J18:J19)</f>
        <v>19</v>
      </c>
    </row>
    <row r="22" spans="1:13" ht="21.5" thickBot="1" x14ac:dyDescent="0.55000000000000004">
      <c r="A22" s="11" t="s">
        <v>10</v>
      </c>
      <c r="B22" s="12" t="s">
        <v>11</v>
      </c>
      <c r="C22" s="12" t="s">
        <v>12</v>
      </c>
      <c r="D22" s="12" t="s">
        <v>15</v>
      </c>
      <c r="E22" s="12" t="s">
        <v>16</v>
      </c>
      <c r="F22" s="12" t="s">
        <v>1446</v>
      </c>
      <c r="G22" s="12" t="s">
        <v>973</v>
      </c>
      <c r="H22" s="12" t="s">
        <v>1447</v>
      </c>
      <c r="I22" s="12" t="s">
        <v>1448</v>
      </c>
      <c r="J22" s="12" t="s">
        <v>1449</v>
      </c>
      <c r="K22" s="12" t="s">
        <v>1450</v>
      </c>
      <c r="L22" s="12" t="s">
        <v>984</v>
      </c>
      <c r="M22" s="13" t="s">
        <v>987</v>
      </c>
    </row>
    <row r="23" spans="1:13" ht="21.5" thickTop="1" x14ac:dyDescent="0.5">
      <c r="A23" s="20" t="s">
        <v>18</v>
      </c>
      <c r="B23" s="21" t="s">
        <v>1468</v>
      </c>
      <c r="C23" s="21" t="s">
        <v>19</v>
      </c>
      <c r="D23" s="21" t="s">
        <v>22</v>
      </c>
      <c r="E23" s="21" t="s">
        <v>24</v>
      </c>
      <c r="F23" s="21" t="s">
        <v>1460</v>
      </c>
      <c r="G23" s="22" t="s">
        <v>1486</v>
      </c>
      <c r="H23" s="21" t="s">
        <v>992</v>
      </c>
      <c r="I23" s="21" t="s">
        <v>19</v>
      </c>
      <c r="J23" s="21" t="s">
        <v>993</v>
      </c>
      <c r="K23" s="21" t="s">
        <v>21</v>
      </c>
      <c r="L23" s="21" t="s">
        <v>1487</v>
      </c>
      <c r="M23" s="23" t="s">
        <v>868</v>
      </c>
    </row>
    <row r="24" spans="1:13" x14ac:dyDescent="0.5">
      <c r="A24" s="20" t="s">
        <v>25</v>
      </c>
      <c r="B24" s="21" t="s">
        <v>108</v>
      </c>
      <c r="C24" s="21" t="s">
        <v>109</v>
      </c>
      <c r="D24" s="21" t="s">
        <v>112</v>
      </c>
      <c r="E24" s="21" t="s">
        <v>114</v>
      </c>
      <c r="F24" s="21" t="s">
        <v>1460</v>
      </c>
      <c r="G24" s="21" t="s">
        <v>1009</v>
      </c>
      <c r="H24" s="21" t="s">
        <v>378</v>
      </c>
      <c r="I24" s="21" t="s">
        <v>109</v>
      </c>
      <c r="J24" s="21" t="s">
        <v>1048</v>
      </c>
      <c r="K24" s="21" t="s">
        <v>111</v>
      </c>
      <c r="L24" s="21" t="s">
        <v>868</v>
      </c>
      <c r="M24" s="23" t="s">
        <v>868</v>
      </c>
    </row>
    <row r="25" spans="1:13" x14ac:dyDescent="0.5">
      <c r="A25" s="20" t="s">
        <v>25</v>
      </c>
      <c r="B25" s="21" t="s">
        <v>128</v>
      </c>
      <c r="C25" s="21" t="s">
        <v>116</v>
      </c>
      <c r="D25" s="21" t="s">
        <v>125</v>
      </c>
      <c r="E25" s="21" t="s">
        <v>127</v>
      </c>
      <c r="F25" s="21" t="s">
        <v>1460</v>
      </c>
      <c r="G25" s="24" t="s">
        <v>1482</v>
      </c>
      <c r="H25" s="21" t="s">
        <v>398</v>
      </c>
      <c r="I25" s="21" t="s">
        <v>1059</v>
      </c>
      <c r="J25" s="21" t="s">
        <v>1055</v>
      </c>
      <c r="K25" s="21" t="s">
        <v>124</v>
      </c>
      <c r="L25" s="21" t="s">
        <v>868</v>
      </c>
      <c r="M25" s="23" t="s">
        <v>868</v>
      </c>
    </row>
    <row r="26" spans="1:13" x14ac:dyDescent="0.5">
      <c r="A26" s="25" t="s">
        <v>25</v>
      </c>
      <c r="B26" s="26" t="s">
        <v>122</v>
      </c>
      <c r="C26" s="26" t="s">
        <v>116</v>
      </c>
      <c r="D26" s="26" t="s">
        <v>119</v>
      </c>
      <c r="E26" s="26" t="s">
        <v>121</v>
      </c>
      <c r="F26" s="21" t="s">
        <v>1460</v>
      </c>
      <c r="G26" s="26" t="s">
        <v>1009</v>
      </c>
      <c r="H26" s="26" t="s">
        <v>1053</v>
      </c>
      <c r="I26" s="26" t="s">
        <v>1054</v>
      </c>
      <c r="J26" s="26" t="s">
        <v>1055</v>
      </c>
      <c r="K26" s="26" t="s">
        <v>124</v>
      </c>
      <c r="L26" s="26" t="s">
        <v>868</v>
      </c>
      <c r="M26" s="27" t="s">
        <v>868</v>
      </c>
    </row>
    <row r="27" spans="1:13" x14ac:dyDescent="0.5">
      <c r="A27" s="20" t="s">
        <v>18</v>
      </c>
      <c r="B27" s="21" t="s">
        <v>1471</v>
      </c>
      <c r="C27" s="21" t="s">
        <v>155</v>
      </c>
      <c r="D27" s="21" t="s">
        <v>158</v>
      </c>
      <c r="E27" s="21" t="s">
        <v>160</v>
      </c>
      <c r="F27" s="21" t="s">
        <v>1460</v>
      </c>
      <c r="G27" s="21" t="s">
        <v>1009</v>
      </c>
      <c r="H27" s="21" t="s">
        <v>1073</v>
      </c>
      <c r="I27" s="21" t="s">
        <v>1074</v>
      </c>
      <c r="J27" s="21" t="s">
        <v>1075</v>
      </c>
      <c r="K27" s="21" t="s">
        <v>157</v>
      </c>
      <c r="L27" s="21" t="s">
        <v>868</v>
      </c>
      <c r="M27" s="23" t="s">
        <v>1052</v>
      </c>
    </row>
    <row r="28" spans="1:13" x14ac:dyDescent="0.5">
      <c r="A28" s="20" t="s">
        <v>25</v>
      </c>
      <c r="B28" s="21" t="s">
        <v>122</v>
      </c>
      <c r="C28" s="21" t="s">
        <v>1473</v>
      </c>
      <c r="D28" s="21" t="s">
        <v>171</v>
      </c>
      <c r="E28" s="21" t="s">
        <v>173</v>
      </c>
      <c r="F28" s="21" t="s">
        <v>1460</v>
      </c>
      <c r="G28" s="21" t="s">
        <v>1009</v>
      </c>
      <c r="H28" s="21" t="s">
        <v>1080</v>
      </c>
      <c r="I28" s="21" t="s">
        <v>168</v>
      </c>
      <c r="J28" s="21" t="s">
        <v>1081</v>
      </c>
      <c r="K28" s="21" t="s">
        <v>1082</v>
      </c>
      <c r="L28" s="21" t="s">
        <v>868</v>
      </c>
      <c r="M28" s="23"/>
    </row>
    <row r="29" spans="1:13" x14ac:dyDescent="0.5">
      <c r="A29" s="25" t="s">
        <v>25</v>
      </c>
      <c r="B29" s="26" t="s">
        <v>202</v>
      </c>
      <c r="C29" s="26" t="s">
        <v>203</v>
      </c>
      <c r="D29" s="26" t="s">
        <v>206</v>
      </c>
      <c r="E29" s="26" t="s">
        <v>208</v>
      </c>
      <c r="F29" s="21" t="s">
        <v>1460</v>
      </c>
      <c r="G29" s="26" t="s">
        <v>1009</v>
      </c>
      <c r="H29" s="26" t="s">
        <v>1097</v>
      </c>
      <c r="I29" s="26" t="s">
        <v>203</v>
      </c>
      <c r="J29" s="26" t="s">
        <v>1098</v>
      </c>
      <c r="K29" s="26" t="s">
        <v>1099</v>
      </c>
      <c r="L29" s="26"/>
      <c r="M29" s="27" t="s">
        <v>1058</v>
      </c>
    </row>
    <row r="30" spans="1:13" x14ac:dyDescent="0.5">
      <c r="A30" s="20" t="s">
        <v>25</v>
      </c>
      <c r="B30" s="21" t="s">
        <v>210</v>
      </c>
      <c r="C30" s="21" t="s">
        <v>211</v>
      </c>
      <c r="D30" s="21" t="s">
        <v>214</v>
      </c>
      <c r="E30" s="21" t="s">
        <v>216</v>
      </c>
      <c r="F30" s="21" t="s">
        <v>1460</v>
      </c>
      <c r="G30" s="21" t="s">
        <v>1009</v>
      </c>
      <c r="H30" s="21" t="s">
        <v>1100</v>
      </c>
      <c r="I30" s="21" t="s">
        <v>211</v>
      </c>
      <c r="J30" s="21" t="s">
        <v>1101</v>
      </c>
      <c r="K30" s="21" t="s">
        <v>1102</v>
      </c>
      <c r="L30" s="21" t="s">
        <v>868</v>
      </c>
      <c r="M30" s="23" t="s">
        <v>868</v>
      </c>
    </row>
    <row r="31" spans="1:13" x14ac:dyDescent="0.5">
      <c r="A31" s="25" t="s">
        <v>25</v>
      </c>
      <c r="B31" s="26" t="s">
        <v>217</v>
      </c>
      <c r="C31" s="26" t="s">
        <v>218</v>
      </c>
      <c r="D31" s="26" t="s">
        <v>221</v>
      </c>
      <c r="E31" s="26" t="s">
        <v>223</v>
      </c>
      <c r="F31" s="21" t="s">
        <v>1460</v>
      </c>
      <c r="G31" s="26" t="s">
        <v>1009</v>
      </c>
      <c r="H31" s="26" t="s">
        <v>1103</v>
      </c>
      <c r="I31" s="26" t="s">
        <v>218</v>
      </c>
      <c r="J31" s="26" t="s">
        <v>1104</v>
      </c>
      <c r="K31" s="26" t="s">
        <v>1105</v>
      </c>
      <c r="L31" s="26" t="s">
        <v>868</v>
      </c>
      <c r="M31" s="27" t="s">
        <v>868</v>
      </c>
    </row>
    <row r="32" spans="1:13" x14ac:dyDescent="0.5">
      <c r="A32" s="25" t="s">
        <v>25</v>
      </c>
      <c r="B32" s="26" t="s">
        <v>231</v>
      </c>
      <c r="C32" s="26" t="s">
        <v>232</v>
      </c>
      <c r="D32" s="26" t="s">
        <v>235</v>
      </c>
      <c r="E32" s="26" t="s">
        <v>237</v>
      </c>
      <c r="F32" s="21" t="s">
        <v>1460</v>
      </c>
      <c r="G32" s="26" t="s">
        <v>1009</v>
      </c>
      <c r="H32" s="26" t="s">
        <v>1080</v>
      </c>
      <c r="I32" s="26" t="s">
        <v>232</v>
      </c>
      <c r="J32" s="26" t="s">
        <v>1113</v>
      </c>
      <c r="K32" s="26" t="s">
        <v>234</v>
      </c>
      <c r="L32" s="26" t="s">
        <v>868</v>
      </c>
      <c r="M32" s="27" t="s">
        <v>868</v>
      </c>
    </row>
    <row r="33" spans="1:13" x14ac:dyDescent="0.5">
      <c r="A33" s="25" t="s">
        <v>18</v>
      </c>
      <c r="B33" s="26" t="s">
        <v>502</v>
      </c>
      <c r="C33" s="26" t="s">
        <v>501</v>
      </c>
      <c r="D33" s="26" t="s">
        <v>505</v>
      </c>
      <c r="E33" s="26" t="s">
        <v>507</v>
      </c>
      <c r="F33" s="21" t="s">
        <v>1460</v>
      </c>
      <c r="G33" s="26" t="s">
        <v>1009</v>
      </c>
      <c r="H33" s="26" t="s">
        <v>501</v>
      </c>
      <c r="I33" s="26" t="s">
        <v>1220</v>
      </c>
      <c r="J33" s="26" t="s">
        <v>1221</v>
      </c>
      <c r="K33" s="26" t="s">
        <v>504</v>
      </c>
      <c r="L33" s="26" t="s">
        <v>868</v>
      </c>
      <c r="M33" s="27" t="s">
        <v>868</v>
      </c>
    </row>
    <row r="34" spans="1:13" x14ac:dyDescent="0.5">
      <c r="A34" s="20" t="s">
        <v>25</v>
      </c>
      <c r="B34" s="21" t="s">
        <v>384</v>
      </c>
      <c r="C34" s="21" t="s">
        <v>385</v>
      </c>
      <c r="D34" s="21" t="s">
        <v>388</v>
      </c>
      <c r="E34" s="21" t="s">
        <v>390</v>
      </c>
      <c r="F34" s="21" t="s">
        <v>1460</v>
      </c>
      <c r="G34" s="21" t="s">
        <v>1009</v>
      </c>
      <c r="H34" s="21" t="s">
        <v>1173</v>
      </c>
      <c r="I34" s="21" t="s">
        <v>1174</v>
      </c>
      <c r="J34" s="21" t="s">
        <v>1175</v>
      </c>
      <c r="K34" s="21" t="s">
        <v>387</v>
      </c>
      <c r="L34" s="21" t="s">
        <v>868</v>
      </c>
      <c r="M34" s="23" t="s">
        <v>868</v>
      </c>
    </row>
    <row r="35" spans="1:13" x14ac:dyDescent="0.5">
      <c r="A35" s="20" t="s">
        <v>25</v>
      </c>
      <c r="B35" s="21" t="s">
        <v>408</v>
      </c>
      <c r="C35" s="21" t="s">
        <v>1182</v>
      </c>
      <c r="D35" s="21" t="s">
        <v>411</v>
      </c>
      <c r="E35" s="21" t="s">
        <v>413</v>
      </c>
      <c r="F35" s="21" t="s">
        <v>1460</v>
      </c>
      <c r="G35" s="21" t="s">
        <v>1009</v>
      </c>
      <c r="H35" s="21" t="s">
        <v>1182</v>
      </c>
      <c r="I35" s="21" t="s">
        <v>408</v>
      </c>
      <c r="J35" s="21" t="s">
        <v>1183</v>
      </c>
      <c r="K35" s="21" t="s">
        <v>1184</v>
      </c>
      <c r="L35" s="21" t="s">
        <v>868</v>
      </c>
      <c r="M35" s="23" t="s">
        <v>868</v>
      </c>
    </row>
    <row r="36" spans="1:13" x14ac:dyDescent="0.5">
      <c r="A36" s="20" t="s">
        <v>25</v>
      </c>
      <c r="B36" s="21" t="s">
        <v>1477</v>
      </c>
      <c r="C36" s="21" t="s">
        <v>1475</v>
      </c>
      <c r="D36" s="21" t="s">
        <v>422</v>
      </c>
      <c r="E36" s="21" t="s">
        <v>424</v>
      </c>
      <c r="F36" s="21" t="s">
        <v>1460</v>
      </c>
      <c r="G36" s="21" t="s">
        <v>1009</v>
      </c>
      <c r="H36" s="21" t="s">
        <v>1186</v>
      </c>
      <c r="I36" s="21" t="s">
        <v>1187</v>
      </c>
      <c r="J36" s="21" t="s">
        <v>1188</v>
      </c>
      <c r="K36" s="21" t="s">
        <v>421</v>
      </c>
      <c r="L36" s="21" t="s">
        <v>868</v>
      </c>
      <c r="M36" s="23" t="s">
        <v>868</v>
      </c>
    </row>
    <row r="37" spans="1:13" x14ac:dyDescent="0.5">
      <c r="A37" s="25" t="s">
        <v>25</v>
      </c>
      <c r="B37" s="26" t="s">
        <v>452</v>
      </c>
      <c r="C37" s="26" t="s">
        <v>453</v>
      </c>
      <c r="D37" s="26" t="s">
        <v>456</v>
      </c>
      <c r="E37" s="26" t="s">
        <v>458</v>
      </c>
      <c r="F37" s="21" t="s">
        <v>1460</v>
      </c>
      <c r="G37" s="26" t="s">
        <v>1009</v>
      </c>
      <c r="H37" s="26" t="s">
        <v>1204</v>
      </c>
      <c r="I37" s="26" t="s">
        <v>1205</v>
      </c>
      <c r="J37" s="26" t="s">
        <v>1206</v>
      </c>
      <c r="K37" s="26" t="s">
        <v>455</v>
      </c>
      <c r="L37" s="26" t="s">
        <v>868</v>
      </c>
      <c r="M37" s="27" t="s">
        <v>868</v>
      </c>
    </row>
    <row r="38" spans="1:13" x14ac:dyDescent="0.5">
      <c r="A38" s="25" t="s">
        <v>25</v>
      </c>
      <c r="B38" s="26" t="s">
        <v>626</v>
      </c>
      <c r="C38" s="26" t="s">
        <v>627</v>
      </c>
      <c r="D38" s="26" t="s">
        <v>630</v>
      </c>
      <c r="E38" s="26" t="s">
        <v>632</v>
      </c>
      <c r="F38" s="21" t="s">
        <v>1460</v>
      </c>
      <c r="G38" s="26" t="s">
        <v>1009</v>
      </c>
      <c r="H38" s="26" t="s">
        <v>1266</v>
      </c>
      <c r="I38" s="26" t="s">
        <v>1267</v>
      </c>
      <c r="J38" s="26" t="s">
        <v>632</v>
      </c>
      <c r="K38" s="26" t="s">
        <v>629</v>
      </c>
      <c r="L38" s="26" t="s">
        <v>868</v>
      </c>
      <c r="M38" s="27" t="s">
        <v>868</v>
      </c>
    </row>
    <row r="39" spans="1:13" x14ac:dyDescent="0.5">
      <c r="A39" s="20" t="s">
        <v>25</v>
      </c>
      <c r="B39" s="21" t="s">
        <v>1479</v>
      </c>
      <c r="C39" s="21" t="s">
        <v>758</v>
      </c>
      <c r="D39" s="21" t="s">
        <v>761</v>
      </c>
      <c r="E39" s="21" t="s">
        <v>763</v>
      </c>
      <c r="F39" s="21" t="s">
        <v>1460</v>
      </c>
      <c r="G39" s="21" t="s">
        <v>1009</v>
      </c>
      <c r="H39" s="21" t="s">
        <v>1311</v>
      </c>
      <c r="I39" s="21" t="s">
        <v>758</v>
      </c>
      <c r="J39" s="21" t="s">
        <v>1312</v>
      </c>
      <c r="K39" s="21" t="s">
        <v>760</v>
      </c>
      <c r="L39" s="21" t="s">
        <v>868</v>
      </c>
      <c r="M39" s="23" t="s">
        <v>868</v>
      </c>
    </row>
    <row r="40" spans="1:13" x14ac:dyDescent="0.5">
      <c r="A40" s="20" t="s">
        <v>25</v>
      </c>
      <c r="B40" s="21" t="s">
        <v>195</v>
      </c>
      <c r="C40" s="21" t="s">
        <v>764</v>
      </c>
      <c r="D40" s="21" t="s">
        <v>701</v>
      </c>
      <c r="E40" s="21" t="s">
        <v>768</v>
      </c>
      <c r="F40" s="21" t="s">
        <v>1460</v>
      </c>
      <c r="G40" s="21" t="s">
        <v>1009</v>
      </c>
      <c r="H40" s="21" t="s">
        <v>1313</v>
      </c>
      <c r="I40" s="21" t="s">
        <v>764</v>
      </c>
      <c r="J40" s="21" t="s">
        <v>768</v>
      </c>
      <c r="K40" s="21" t="s">
        <v>766</v>
      </c>
      <c r="L40" s="21" t="s">
        <v>868</v>
      </c>
      <c r="M40" s="23"/>
    </row>
    <row r="41" spans="1:13" x14ac:dyDescent="0.5">
      <c r="A41" s="25" t="s">
        <v>25</v>
      </c>
      <c r="B41" s="26" t="s">
        <v>813</v>
      </c>
      <c r="C41" s="26" t="s">
        <v>814</v>
      </c>
      <c r="D41" s="26" t="s">
        <v>51</v>
      </c>
      <c r="E41" s="26" t="s">
        <v>818</v>
      </c>
      <c r="F41" s="21" t="s">
        <v>1460</v>
      </c>
      <c r="G41" s="26" t="s">
        <v>1009</v>
      </c>
      <c r="H41" s="26" t="s">
        <v>452</v>
      </c>
      <c r="I41" s="26" t="s">
        <v>1331</v>
      </c>
      <c r="J41" s="26" t="s">
        <v>1332</v>
      </c>
      <c r="K41" s="26" t="s">
        <v>1333</v>
      </c>
      <c r="L41" s="26" t="s">
        <v>868</v>
      </c>
      <c r="M41" s="27"/>
    </row>
    <row r="44" spans="1:13" x14ac:dyDescent="0.5">
      <c r="A44" s="5" t="s">
        <v>0</v>
      </c>
      <c r="B44" s="5"/>
      <c r="C44" s="5"/>
      <c r="D44" s="5"/>
      <c r="E44" s="5"/>
      <c r="F44" s="5"/>
      <c r="I44" s="7" t="s">
        <v>1</v>
      </c>
      <c r="J44" s="6">
        <f>COUNTIF(A49:A66,"Herr")</f>
        <v>7</v>
      </c>
    </row>
    <row r="45" spans="1:13" x14ac:dyDescent="0.5">
      <c r="A45" s="5" t="s">
        <v>3</v>
      </c>
      <c r="B45" s="5"/>
      <c r="C45" s="5"/>
      <c r="D45" s="5"/>
      <c r="E45" s="5"/>
      <c r="F45" s="5"/>
      <c r="I45" s="7" t="s">
        <v>4</v>
      </c>
      <c r="J45" s="6">
        <f>COUNTIF(A49:A66,"Frau")</f>
        <v>11</v>
      </c>
    </row>
    <row r="46" spans="1:13" x14ac:dyDescent="0.5">
      <c r="A46" s="5" t="s">
        <v>6</v>
      </c>
      <c r="B46" s="5"/>
      <c r="C46" s="5"/>
      <c r="D46" s="5"/>
      <c r="E46" s="5"/>
      <c r="F46" s="5"/>
      <c r="I46" s="7"/>
    </row>
    <row r="47" spans="1:13" x14ac:dyDescent="0.5">
      <c r="E47" s="9"/>
      <c r="I47" s="10" t="s">
        <v>9</v>
      </c>
      <c r="J47" s="5">
        <f>SUM(J44:J45)</f>
        <v>18</v>
      </c>
    </row>
    <row r="48" spans="1:13" ht="21.5" thickBot="1" x14ac:dyDescent="0.55000000000000004">
      <c r="A48" s="11" t="s">
        <v>10</v>
      </c>
      <c r="B48" s="12" t="s">
        <v>11</v>
      </c>
      <c r="C48" s="12" t="s">
        <v>12</v>
      </c>
      <c r="D48" s="12" t="s">
        <v>15</v>
      </c>
      <c r="E48" s="12" t="s">
        <v>16</v>
      </c>
      <c r="F48" s="12" t="s">
        <v>1446</v>
      </c>
      <c r="G48" s="12" t="s">
        <v>973</v>
      </c>
      <c r="H48" s="12" t="s">
        <v>1447</v>
      </c>
      <c r="I48" s="12" t="s">
        <v>1448</v>
      </c>
      <c r="J48" s="12" t="s">
        <v>1449</v>
      </c>
      <c r="K48" s="12" t="s">
        <v>1450</v>
      </c>
      <c r="L48" s="12" t="s">
        <v>984</v>
      </c>
      <c r="M48" s="13" t="s">
        <v>987</v>
      </c>
    </row>
    <row r="49" spans="1:13" ht="21.5" thickTop="1" x14ac:dyDescent="0.5">
      <c r="A49" s="28" t="s">
        <v>18</v>
      </c>
      <c r="B49" s="29" t="s">
        <v>40</v>
      </c>
      <c r="C49" s="29" t="s">
        <v>41</v>
      </c>
      <c r="D49" s="29" t="s">
        <v>44</v>
      </c>
      <c r="E49" s="29" t="s">
        <v>46</v>
      </c>
      <c r="F49" s="29" t="s">
        <v>1459</v>
      </c>
      <c r="G49" s="29" t="s">
        <v>1009</v>
      </c>
      <c r="H49" s="29" t="s">
        <v>1015</v>
      </c>
      <c r="I49" s="29" t="s">
        <v>41</v>
      </c>
      <c r="J49" s="29" t="s">
        <v>1016</v>
      </c>
      <c r="K49" s="29" t="s">
        <v>1017</v>
      </c>
      <c r="L49" s="29" t="s">
        <v>868</v>
      </c>
      <c r="M49" s="30"/>
    </row>
    <row r="50" spans="1:13" x14ac:dyDescent="0.5">
      <c r="A50" s="31" t="s">
        <v>18</v>
      </c>
      <c r="B50" s="32" t="s">
        <v>47</v>
      </c>
      <c r="C50" s="32" t="s">
        <v>48</v>
      </c>
      <c r="D50" s="32" t="s">
        <v>51</v>
      </c>
      <c r="E50" s="32" t="s">
        <v>53</v>
      </c>
      <c r="F50" s="29" t="s">
        <v>1459</v>
      </c>
      <c r="G50" s="32" t="s">
        <v>1009</v>
      </c>
      <c r="H50" s="32" t="s">
        <v>1019</v>
      </c>
      <c r="I50" s="32" t="s">
        <v>1020</v>
      </c>
      <c r="J50" s="32" t="s">
        <v>1021</v>
      </c>
      <c r="K50" s="32" t="s">
        <v>1022</v>
      </c>
      <c r="L50" s="32" t="s">
        <v>868</v>
      </c>
      <c r="M50" s="33"/>
    </row>
    <row r="51" spans="1:13" x14ac:dyDescent="0.5">
      <c r="A51" s="28" t="s">
        <v>18</v>
      </c>
      <c r="B51" s="29" t="s">
        <v>60</v>
      </c>
      <c r="C51" s="29" t="s">
        <v>61</v>
      </c>
      <c r="D51" s="29" t="s">
        <v>64</v>
      </c>
      <c r="E51" s="29" t="s">
        <v>66</v>
      </c>
      <c r="F51" s="29" t="s">
        <v>1459</v>
      </c>
      <c r="G51" s="29" t="s">
        <v>1009</v>
      </c>
      <c r="H51" s="29" t="s">
        <v>1026</v>
      </c>
      <c r="I51" s="29" t="s">
        <v>61</v>
      </c>
      <c r="J51" s="29" t="s">
        <v>1027</v>
      </c>
      <c r="K51" s="29" t="s">
        <v>63</v>
      </c>
      <c r="L51" s="29" t="s">
        <v>1488</v>
      </c>
      <c r="M51" s="30"/>
    </row>
    <row r="52" spans="1:13" x14ac:dyDescent="0.5">
      <c r="A52" s="28" t="s">
        <v>25</v>
      </c>
      <c r="B52" s="29" t="s">
        <v>137</v>
      </c>
      <c r="C52" s="29" t="s">
        <v>138</v>
      </c>
      <c r="D52" s="29" t="s">
        <v>141</v>
      </c>
      <c r="E52" s="29" t="s">
        <v>143</v>
      </c>
      <c r="F52" s="29" t="s">
        <v>1459</v>
      </c>
      <c r="G52" s="29" t="s">
        <v>1009</v>
      </c>
      <c r="H52" s="29" t="s">
        <v>1065</v>
      </c>
      <c r="I52" s="29" t="s">
        <v>138</v>
      </c>
      <c r="J52" s="29" t="s">
        <v>1066</v>
      </c>
      <c r="K52" s="29" t="s">
        <v>1067</v>
      </c>
      <c r="L52" s="29" t="s">
        <v>868</v>
      </c>
      <c r="M52" s="30"/>
    </row>
    <row r="53" spans="1:13" x14ac:dyDescent="0.5">
      <c r="A53" s="31" t="s">
        <v>18</v>
      </c>
      <c r="B53" s="32" t="s">
        <v>277</v>
      </c>
      <c r="C53" s="32" t="s">
        <v>278</v>
      </c>
      <c r="D53" s="32" t="s">
        <v>287</v>
      </c>
      <c r="E53" s="32" t="s">
        <v>289</v>
      </c>
      <c r="F53" s="29" t="s">
        <v>1459</v>
      </c>
      <c r="G53" s="32" t="s">
        <v>1009</v>
      </c>
      <c r="H53" s="32" t="s">
        <v>1129</v>
      </c>
      <c r="I53" s="32" t="s">
        <v>278</v>
      </c>
      <c r="J53" s="32" t="s">
        <v>1130</v>
      </c>
      <c r="K53" s="32" t="s">
        <v>1131</v>
      </c>
      <c r="L53" s="32" t="s">
        <v>868</v>
      </c>
      <c r="M53" s="33" t="s">
        <v>868</v>
      </c>
    </row>
    <row r="54" spans="1:13" x14ac:dyDescent="0.5">
      <c r="A54" s="28" t="s">
        <v>18</v>
      </c>
      <c r="B54" s="29" t="s">
        <v>284</v>
      </c>
      <c r="C54" s="29" t="s">
        <v>278</v>
      </c>
      <c r="D54" s="29" t="s">
        <v>281</v>
      </c>
      <c r="E54" s="29" t="s">
        <v>283</v>
      </c>
      <c r="F54" s="29" t="s">
        <v>1459</v>
      </c>
      <c r="G54" s="29" t="s">
        <v>1009</v>
      </c>
      <c r="H54" s="29" t="s">
        <v>1132</v>
      </c>
      <c r="I54" s="29" t="s">
        <v>278</v>
      </c>
      <c r="J54" s="29" t="s">
        <v>1130</v>
      </c>
      <c r="K54" s="29" t="s">
        <v>1131</v>
      </c>
      <c r="L54" s="29" t="s">
        <v>868</v>
      </c>
      <c r="M54" s="30" t="s">
        <v>868</v>
      </c>
    </row>
    <row r="55" spans="1:13" x14ac:dyDescent="0.5">
      <c r="A55" s="28" t="s">
        <v>18</v>
      </c>
      <c r="B55" s="29" t="s">
        <v>297</v>
      </c>
      <c r="C55" s="29" t="s">
        <v>298</v>
      </c>
      <c r="D55" s="29" t="s">
        <v>301</v>
      </c>
      <c r="E55" s="29" t="s">
        <v>302</v>
      </c>
      <c r="F55" s="29" t="s">
        <v>1459</v>
      </c>
      <c r="G55" s="29" t="s">
        <v>1009</v>
      </c>
      <c r="H55" s="29" t="s">
        <v>1136</v>
      </c>
      <c r="I55" s="29" t="s">
        <v>298</v>
      </c>
      <c r="J55" s="29" t="s">
        <v>1137</v>
      </c>
      <c r="K55" s="29" t="s">
        <v>300</v>
      </c>
      <c r="L55" s="29" t="s">
        <v>868</v>
      </c>
      <c r="M55" s="30" t="s">
        <v>868</v>
      </c>
    </row>
    <row r="56" spans="1:13" x14ac:dyDescent="0.5">
      <c r="A56" s="28" t="s">
        <v>18</v>
      </c>
      <c r="B56" s="29" t="s">
        <v>357</v>
      </c>
      <c r="C56" s="29" t="s">
        <v>358</v>
      </c>
      <c r="D56" s="29" t="s">
        <v>361</v>
      </c>
      <c r="E56" s="29" t="s">
        <v>363</v>
      </c>
      <c r="F56" s="29" t="s">
        <v>1459</v>
      </c>
      <c r="G56" s="29" t="s">
        <v>1009</v>
      </c>
      <c r="H56" s="29" t="s">
        <v>1119</v>
      </c>
      <c r="I56" s="29" t="s">
        <v>358</v>
      </c>
      <c r="J56" s="29" t="s">
        <v>1159</v>
      </c>
      <c r="K56" s="29" t="s">
        <v>1160</v>
      </c>
      <c r="L56" s="29" t="s">
        <v>868</v>
      </c>
      <c r="M56" s="30" t="s">
        <v>1126</v>
      </c>
    </row>
    <row r="57" spans="1:13" x14ac:dyDescent="0.5">
      <c r="A57" s="28" t="s">
        <v>18</v>
      </c>
      <c r="B57" s="29" t="s">
        <v>391</v>
      </c>
      <c r="C57" s="29" t="s">
        <v>392</v>
      </c>
      <c r="D57" s="29" t="s">
        <v>395</v>
      </c>
      <c r="E57" s="29" t="s">
        <v>397</v>
      </c>
      <c r="F57" s="29" t="s">
        <v>1459</v>
      </c>
      <c r="G57" s="29" t="s">
        <v>1009</v>
      </c>
      <c r="H57" s="29" t="s">
        <v>1176</v>
      </c>
      <c r="I57" s="29" t="s">
        <v>392</v>
      </c>
      <c r="J57" s="29" t="s">
        <v>397</v>
      </c>
      <c r="K57" s="29" t="s">
        <v>394</v>
      </c>
      <c r="L57" s="29" t="s">
        <v>868</v>
      </c>
      <c r="M57" s="30" t="s">
        <v>868</v>
      </c>
    </row>
    <row r="58" spans="1:13" x14ac:dyDescent="0.5">
      <c r="A58" s="28" t="s">
        <v>18</v>
      </c>
      <c r="B58" s="29" t="s">
        <v>508</v>
      </c>
      <c r="C58" s="29" t="s">
        <v>509</v>
      </c>
      <c r="D58" s="29" t="s">
        <v>512</v>
      </c>
      <c r="E58" s="29" t="s">
        <v>514</v>
      </c>
      <c r="F58" s="29" t="s">
        <v>1459</v>
      </c>
      <c r="G58" s="29" t="s">
        <v>1009</v>
      </c>
      <c r="H58" s="29" t="s">
        <v>1127</v>
      </c>
      <c r="I58" s="29" t="s">
        <v>509</v>
      </c>
      <c r="J58" s="29" t="s">
        <v>1222</v>
      </c>
      <c r="K58" s="29" t="s">
        <v>511</v>
      </c>
      <c r="L58" s="29" t="s">
        <v>868</v>
      </c>
      <c r="M58" s="30" t="s">
        <v>868</v>
      </c>
    </row>
    <row r="59" spans="1:13" x14ac:dyDescent="0.5">
      <c r="A59" s="31" t="s">
        <v>25</v>
      </c>
      <c r="B59" s="32" t="s">
        <v>522</v>
      </c>
      <c r="C59" s="32" t="s">
        <v>516</v>
      </c>
      <c r="D59" s="32" t="s">
        <v>524</v>
      </c>
      <c r="E59" s="32" t="s">
        <v>526</v>
      </c>
      <c r="F59" s="29" t="s">
        <v>1459</v>
      </c>
      <c r="G59" s="32" t="s">
        <v>1009</v>
      </c>
      <c r="H59" s="32" t="s">
        <v>1223</v>
      </c>
      <c r="I59" s="32" t="s">
        <v>516</v>
      </c>
      <c r="J59" s="32" t="s">
        <v>1224</v>
      </c>
      <c r="K59" s="32" t="s">
        <v>1225</v>
      </c>
      <c r="L59" s="32" t="s">
        <v>868</v>
      </c>
      <c r="M59" s="33" t="s">
        <v>868</v>
      </c>
    </row>
    <row r="60" spans="1:13" x14ac:dyDescent="0.5">
      <c r="A60" s="28" t="s">
        <v>25</v>
      </c>
      <c r="B60" s="29" t="s">
        <v>515</v>
      </c>
      <c r="C60" s="29" t="s">
        <v>516</v>
      </c>
      <c r="D60" s="29" t="s">
        <v>519</v>
      </c>
      <c r="E60" s="29" t="s">
        <v>521</v>
      </c>
      <c r="F60" s="29" t="s">
        <v>1459</v>
      </c>
      <c r="G60" s="29" t="s">
        <v>1009</v>
      </c>
      <c r="H60" s="29" t="s">
        <v>1223</v>
      </c>
      <c r="I60" s="29" t="s">
        <v>516</v>
      </c>
      <c r="J60" s="29" t="s">
        <v>1224</v>
      </c>
      <c r="K60" s="29" t="s">
        <v>1225</v>
      </c>
      <c r="L60" s="29" t="s">
        <v>868</v>
      </c>
      <c r="M60" s="30" t="s">
        <v>868</v>
      </c>
    </row>
    <row r="61" spans="1:13" x14ac:dyDescent="0.5">
      <c r="A61" s="31" t="s">
        <v>18</v>
      </c>
      <c r="B61" s="32" t="s">
        <v>568</v>
      </c>
      <c r="C61" s="32" t="s">
        <v>569</v>
      </c>
      <c r="D61" s="32" t="s">
        <v>572</v>
      </c>
      <c r="E61" s="32" t="s">
        <v>574</v>
      </c>
      <c r="F61" s="29" t="s">
        <v>1459</v>
      </c>
      <c r="G61" s="32" t="s">
        <v>1009</v>
      </c>
      <c r="H61" s="32" t="s">
        <v>1245</v>
      </c>
      <c r="I61" s="32" t="s">
        <v>195</v>
      </c>
      <c r="J61" s="32" t="s">
        <v>1246</v>
      </c>
      <c r="K61" s="32" t="s">
        <v>1247</v>
      </c>
      <c r="L61" s="32" t="s">
        <v>868</v>
      </c>
      <c r="M61" s="33"/>
    </row>
    <row r="62" spans="1:13" x14ac:dyDescent="0.5">
      <c r="A62" s="28" t="s">
        <v>25</v>
      </c>
      <c r="B62" s="29" t="s">
        <v>654</v>
      </c>
      <c r="C62" s="29" t="s">
        <v>655</v>
      </c>
      <c r="D62" s="29" t="s">
        <v>658</v>
      </c>
      <c r="E62" s="29" t="s">
        <v>660</v>
      </c>
      <c r="F62" s="29" t="s">
        <v>1459</v>
      </c>
      <c r="G62" s="29" t="s">
        <v>1009</v>
      </c>
      <c r="H62" s="29" t="s">
        <v>1278</v>
      </c>
      <c r="I62" s="29" t="s">
        <v>655</v>
      </c>
      <c r="J62" s="29" t="s">
        <v>1279</v>
      </c>
      <c r="K62" s="29" t="s">
        <v>1280</v>
      </c>
      <c r="L62" s="29" t="s">
        <v>868</v>
      </c>
      <c r="M62" s="30"/>
    </row>
    <row r="63" spans="1:13" x14ac:dyDescent="0.5">
      <c r="A63" s="31" t="s">
        <v>25</v>
      </c>
      <c r="B63" s="32" t="s">
        <v>704</v>
      </c>
      <c r="C63" s="32" t="s">
        <v>705</v>
      </c>
      <c r="D63" s="32" t="s">
        <v>708</v>
      </c>
      <c r="E63" s="32" t="s">
        <v>710</v>
      </c>
      <c r="F63" s="29" t="s">
        <v>1459</v>
      </c>
      <c r="G63" s="32" t="s">
        <v>1009</v>
      </c>
      <c r="H63" s="32" t="s">
        <v>1100</v>
      </c>
      <c r="I63" s="32" t="s">
        <v>705</v>
      </c>
      <c r="J63" s="32" t="s">
        <v>1292</v>
      </c>
      <c r="K63" s="32" t="s">
        <v>707</v>
      </c>
      <c r="L63" s="32" t="s">
        <v>868</v>
      </c>
      <c r="M63" s="33" t="s">
        <v>1142</v>
      </c>
    </row>
    <row r="64" spans="1:13" x14ac:dyDescent="0.5">
      <c r="A64" s="28" t="s">
        <v>25</v>
      </c>
      <c r="B64" s="29" t="s">
        <v>1478</v>
      </c>
      <c r="C64" s="29" t="s">
        <v>711</v>
      </c>
      <c r="D64" s="29" t="s">
        <v>714</v>
      </c>
      <c r="E64" s="29" t="s">
        <v>716</v>
      </c>
      <c r="F64" s="29" t="s">
        <v>1459</v>
      </c>
      <c r="G64" s="29" t="s">
        <v>1009</v>
      </c>
      <c r="H64" s="29" t="s">
        <v>1293</v>
      </c>
      <c r="I64" s="29" t="s">
        <v>711</v>
      </c>
      <c r="J64" s="29" t="s">
        <v>716</v>
      </c>
      <c r="K64" s="29" t="s">
        <v>713</v>
      </c>
      <c r="L64" s="29" t="s">
        <v>868</v>
      </c>
      <c r="M64" s="30"/>
    </row>
    <row r="65" spans="1:13" x14ac:dyDescent="0.5">
      <c r="A65" s="28" t="s">
        <v>18</v>
      </c>
      <c r="B65" s="29" t="s">
        <v>788</v>
      </c>
      <c r="C65" s="29" t="s">
        <v>1321</v>
      </c>
      <c r="D65" s="29" t="s">
        <v>791</v>
      </c>
      <c r="E65" s="29" t="s">
        <v>793</v>
      </c>
      <c r="F65" s="29" t="s">
        <v>1459</v>
      </c>
      <c r="G65" s="29" t="s">
        <v>1009</v>
      </c>
      <c r="H65" s="29" t="s">
        <v>1320</v>
      </c>
      <c r="I65" s="29" t="s">
        <v>1321</v>
      </c>
      <c r="J65" s="29" t="s">
        <v>1322</v>
      </c>
      <c r="K65" s="29" t="s">
        <v>1323</v>
      </c>
      <c r="L65" s="29" t="s">
        <v>1487</v>
      </c>
      <c r="M65" s="30"/>
    </row>
    <row r="66" spans="1:13" x14ac:dyDescent="0.5">
      <c r="A66" s="31" t="s">
        <v>25</v>
      </c>
      <c r="B66" s="32" t="s">
        <v>819</v>
      </c>
      <c r="C66" s="32" t="s">
        <v>820</v>
      </c>
      <c r="D66" s="32" t="s">
        <v>823</v>
      </c>
      <c r="E66" s="32" t="s">
        <v>825</v>
      </c>
      <c r="F66" s="29" t="s">
        <v>1459</v>
      </c>
      <c r="G66" s="32" t="s">
        <v>1009</v>
      </c>
      <c r="H66" s="32" t="s">
        <v>1334</v>
      </c>
      <c r="I66" s="32" t="s">
        <v>820</v>
      </c>
      <c r="J66" s="32" t="s">
        <v>1335</v>
      </c>
      <c r="K66" s="32" t="s">
        <v>822</v>
      </c>
      <c r="L66" s="32" t="s">
        <v>868</v>
      </c>
      <c r="M66" s="33"/>
    </row>
    <row r="69" spans="1:13" x14ac:dyDescent="0.5">
      <c r="A69" s="5" t="s">
        <v>0</v>
      </c>
      <c r="B69" s="5"/>
      <c r="C69" s="5"/>
      <c r="D69" s="5"/>
      <c r="E69" s="5"/>
      <c r="F69" s="5"/>
      <c r="I69" s="7" t="s">
        <v>1</v>
      </c>
      <c r="J69" s="6">
        <f>COUNTIF(A74:A90,"Herr")</f>
        <v>10</v>
      </c>
    </row>
    <row r="70" spans="1:13" x14ac:dyDescent="0.5">
      <c r="A70" s="5" t="s">
        <v>3</v>
      </c>
      <c r="B70" s="5"/>
      <c r="C70" s="5"/>
      <c r="D70" s="5"/>
      <c r="E70" s="5"/>
      <c r="F70" s="5"/>
      <c r="I70" s="7" t="s">
        <v>4</v>
      </c>
      <c r="J70" s="6">
        <f>COUNTIF(A74:A90,"Frau")</f>
        <v>7</v>
      </c>
    </row>
    <row r="71" spans="1:13" x14ac:dyDescent="0.5">
      <c r="A71" s="5" t="s">
        <v>6</v>
      </c>
      <c r="B71" s="5"/>
      <c r="C71" s="5"/>
      <c r="D71" s="5"/>
      <c r="E71" s="5"/>
      <c r="F71" s="5"/>
      <c r="I71" s="7"/>
    </row>
    <row r="72" spans="1:13" x14ac:dyDescent="0.5">
      <c r="E72" s="9"/>
      <c r="I72" s="10" t="s">
        <v>9</v>
      </c>
      <c r="J72" s="5">
        <f>SUM(J69:J70)</f>
        <v>17</v>
      </c>
    </row>
    <row r="73" spans="1:13" ht="21.5" thickBot="1" x14ac:dyDescent="0.55000000000000004">
      <c r="A73" s="11" t="s">
        <v>10</v>
      </c>
      <c r="B73" s="12" t="s">
        <v>11</v>
      </c>
      <c r="C73" s="12" t="s">
        <v>12</v>
      </c>
      <c r="D73" s="12" t="s">
        <v>15</v>
      </c>
      <c r="E73" s="12" t="s">
        <v>16</v>
      </c>
      <c r="F73" s="12" t="s">
        <v>1446</v>
      </c>
      <c r="G73" s="12" t="s">
        <v>973</v>
      </c>
      <c r="H73" s="12" t="s">
        <v>1447</v>
      </c>
      <c r="I73" s="12" t="s">
        <v>1448</v>
      </c>
      <c r="J73" s="12" t="s">
        <v>1449</v>
      </c>
      <c r="K73" s="12" t="s">
        <v>1450</v>
      </c>
      <c r="L73" s="12" t="s">
        <v>984</v>
      </c>
      <c r="M73" s="13" t="s">
        <v>987</v>
      </c>
    </row>
    <row r="74" spans="1:13" ht="21.5" thickTop="1" x14ac:dyDescent="0.5">
      <c r="A74" s="34" t="s">
        <v>25</v>
      </c>
      <c r="B74" s="35" t="s">
        <v>54</v>
      </c>
      <c r="C74" s="35" t="s">
        <v>55</v>
      </c>
      <c r="D74" s="35" t="s">
        <v>30</v>
      </c>
      <c r="E74" s="35" t="s">
        <v>59</v>
      </c>
      <c r="F74" s="35" t="s">
        <v>1458</v>
      </c>
      <c r="G74" s="35" t="s">
        <v>1009</v>
      </c>
      <c r="H74" s="35" t="s">
        <v>1080</v>
      </c>
      <c r="I74" s="35" t="s">
        <v>1438</v>
      </c>
      <c r="J74" s="35" t="s">
        <v>1002</v>
      </c>
      <c r="K74" s="35" t="s">
        <v>57</v>
      </c>
      <c r="L74" s="35" t="s">
        <v>868</v>
      </c>
      <c r="M74" s="36"/>
    </row>
    <row r="75" spans="1:13" x14ac:dyDescent="0.5">
      <c r="A75" s="34" t="s">
        <v>18</v>
      </c>
      <c r="B75" s="35" t="s">
        <v>181</v>
      </c>
      <c r="C75" s="35" t="s">
        <v>182</v>
      </c>
      <c r="D75" s="35" t="s">
        <v>185</v>
      </c>
      <c r="E75" s="35" t="s">
        <v>187</v>
      </c>
      <c r="F75" s="35" t="s">
        <v>1458</v>
      </c>
      <c r="G75" s="35" t="s">
        <v>1009</v>
      </c>
      <c r="H75" s="35" t="s">
        <v>1080</v>
      </c>
      <c r="I75" s="35" t="s">
        <v>182</v>
      </c>
      <c r="J75" s="35" t="s">
        <v>1086</v>
      </c>
      <c r="K75" s="35" t="s">
        <v>1087</v>
      </c>
      <c r="L75" s="35" t="s">
        <v>868</v>
      </c>
      <c r="M75" s="36"/>
    </row>
    <row r="76" spans="1:13" x14ac:dyDescent="0.5">
      <c r="A76" s="37" t="s">
        <v>18</v>
      </c>
      <c r="B76" s="38" t="s">
        <v>188</v>
      </c>
      <c r="C76" s="38" t="s">
        <v>189</v>
      </c>
      <c r="D76" s="38" t="s">
        <v>192</v>
      </c>
      <c r="E76" s="38" t="s">
        <v>194</v>
      </c>
      <c r="F76" s="35" t="s">
        <v>1458</v>
      </c>
      <c r="G76" s="38" t="s">
        <v>1009</v>
      </c>
      <c r="H76" s="38" t="s">
        <v>1088</v>
      </c>
      <c r="I76" s="38" t="s">
        <v>1089</v>
      </c>
      <c r="J76" s="38" t="s">
        <v>1090</v>
      </c>
      <c r="K76" s="38" t="s">
        <v>1091</v>
      </c>
      <c r="L76" s="38" t="s">
        <v>868</v>
      </c>
      <c r="M76" s="39"/>
    </row>
    <row r="77" spans="1:13" x14ac:dyDescent="0.5">
      <c r="A77" s="34" t="s">
        <v>25</v>
      </c>
      <c r="B77" s="35" t="s">
        <v>195</v>
      </c>
      <c r="C77" s="35" t="s">
        <v>196</v>
      </c>
      <c r="D77" s="35" t="s">
        <v>199</v>
      </c>
      <c r="E77" s="35" t="s">
        <v>201</v>
      </c>
      <c r="F77" s="35" t="s">
        <v>1458</v>
      </c>
      <c r="G77" s="35" t="s">
        <v>1009</v>
      </c>
      <c r="H77" s="35" t="s">
        <v>82</v>
      </c>
      <c r="I77" s="35" t="s">
        <v>196</v>
      </c>
      <c r="J77" s="35" t="s">
        <v>1093</v>
      </c>
      <c r="K77" s="35" t="s">
        <v>1094</v>
      </c>
      <c r="L77" s="35" t="s">
        <v>868</v>
      </c>
      <c r="M77" s="36"/>
    </row>
    <row r="78" spans="1:13" x14ac:dyDescent="0.5">
      <c r="A78" s="37" t="s">
        <v>25</v>
      </c>
      <c r="B78" s="38" t="s">
        <v>270</v>
      </c>
      <c r="C78" s="38" t="s">
        <v>271</v>
      </c>
      <c r="D78" s="38" t="s">
        <v>274</v>
      </c>
      <c r="E78" s="38" t="s">
        <v>276</v>
      </c>
      <c r="F78" s="35" t="s">
        <v>1458</v>
      </c>
      <c r="G78" s="38" t="s">
        <v>1009</v>
      </c>
      <c r="H78" s="38" t="s">
        <v>1127</v>
      </c>
      <c r="I78" s="38" t="s">
        <v>271</v>
      </c>
      <c r="J78" s="38" t="s">
        <v>1128</v>
      </c>
      <c r="K78" s="38" t="s">
        <v>273</v>
      </c>
      <c r="L78" s="38"/>
      <c r="M78" s="39"/>
    </row>
    <row r="79" spans="1:13" x14ac:dyDescent="0.5">
      <c r="A79" s="34" t="s">
        <v>25</v>
      </c>
      <c r="B79" s="35" t="s">
        <v>303</v>
      </c>
      <c r="C79" s="35" t="s">
        <v>304</v>
      </c>
      <c r="D79" s="35" t="s">
        <v>307</v>
      </c>
      <c r="E79" s="35" t="s">
        <v>309</v>
      </c>
      <c r="F79" s="35" t="s">
        <v>1458</v>
      </c>
      <c r="G79" s="35" t="s">
        <v>1009</v>
      </c>
      <c r="H79" s="35" t="s">
        <v>1139</v>
      </c>
      <c r="I79" s="35" t="s">
        <v>1140</v>
      </c>
      <c r="J79" s="35" t="s">
        <v>1141</v>
      </c>
      <c r="K79" s="35" t="s">
        <v>306</v>
      </c>
      <c r="L79" s="35"/>
      <c r="M79" s="36"/>
    </row>
    <row r="80" spans="1:13" x14ac:dyDescent="0.5">
      <c r="A80" s="37" t="s">
        <v>25</v>
      </c>
      <c r="B80" s="38" t="s">
        <v>310</v>
      </c>
      <c r="C80" s="38" t="s">
        <v>311</v>
      </c>
      <c r="D80" s="38" t="s">
        <v>314</v>
      </c>
      <c r="E80" s="38" t="s">
        <v>316</v>
      </c>
      <c r="F80" s="35" t="s">
        <v>1458</v>
      </c>
      <c r="G80" s="38" t="s">
        <v>1009</v>
      </c>
      <c r="H80" s="38" t="s">
        <v>1143</v>
      </c>
      <c r="I80" s="38" t="s">
        <v>311</v>
      </c>
      <c r="J80" s="38" t="s">
        <v>1144</v>
      </c>
      <c r="K80" s="38" t="s">
        <v>313</v>
      </c>
      <c r="L80" s="38" t="s">
        <v>868</v>
      </c>
      <c r="M80" s="39"/>
    </row>
    <row r="81" spans="1:13" x14ac:dyDescent="0.5">
      <c r="A81" s="34" t="s">
        <v>18</v>
      </c>
      <c r="B81" s="35" t="s">
        <v>324</v>
      </c>
      <c r="C81" s="35" t="s">
        <v>325</v>
      </c>
      <c r="D81" s="35" t="s">
        <v>328</v>
      </c>
      <c r="E81" s="35" t="s">
        <v>330</v>
      </c>
      <c r="F81" s="35" t="s">
        <v>1458</v>
      </c>
      <c r="G81" s="35" t="s">
        <v>1009</v>
      </c>
      <c r="H81" s="35" t="s">
        <v>1145</v>
      </c>
      <c r="I81" s="35" t="s">
        <v>1146</v>
      </c>
      <c r="J81" s="35" t="s">
        <v>1147</v>
      </c>
      <c r="K81" s="35" t="s">
        <v>327</v>
      </c>
      <c r="L81" s="35" t="s">
        <v>868</v>
      </c>
      <c r="M81" s="36"/>
    </row>
    <row r="82" spans="1:13" x14ac:dyDescent="0.5">
      <c r="A82" s="37" t="s">
        <v>18</v>
      </c>
      <c r="B82" s="38" t="s">
        <v>371</v>
      </c>
      <c r="C82" s="38" t="s">
        <v>372</v>
      </c>
      <c r="D82" s="38" t="s">
        <v>381</v>
      </c>
      <c r="E82" s="38" t="s">
        <v>383</v>
      </c>
      <c r="F82" s="35" t="s">
        <v>1458</v>
      </c>
      <c r="G82" s="38" t="s">
        <v>1009</v>
      </c>
      <c r="H82" s="38" t="s">
        <v>452</v>
      </c>
      <c r="I82" s="38" t="s">
        <v>372</v>
      </c>
      <c r="J82" s="38" t="s">
        <v>1166</v>
      </c>
      <c r="K82" s="38" t="s">
        <v>1167</v>
      </c>
      <c r="L82" s="38"/>
      <c r="M82" s="39"/>
    </row>
    <row r="83" spans="1:13" x14ac:dyDescent="0.5">
      <c r="A83" s="34" t="s">
        <v>25</v>
      </c>
      <c r="B83" s="35" t="s">
        <v>398</v>
      </c>
      <c r="C83" s="35" t="s">
        <v>392</v>
      </c>
      <c r="D83" s="35" t="s">
        <v>399</v>
      </c>
      <c r="E83" s="35" t="s">
        <v>401</v>
      </c>
      <c r="F83" s="35" t="s">
        <v>1458</v>
      </c>
      <c r="G83" s="35" t="s">
        <v>1009</v>
      </c>
      <c r="H83" s="35" t="s">
        <v>1177</v>
      </c>
      <c r="I83" s="35" t="s">
        <v>392</v>
      </c>
      <c r="J83" s="35" t="s">
        <v>397</v>
      </c>
      <c r="K83" s="35" t="s">
        <v>394</v>
      </c>
      <c r="L83" s="35"/>
      <c r="M83" s="36"/>
    </row>
    <row r="84" spans="1:13" x14ac:dyDescent="0.5">
      <c r="A84" s="34" t="s">
        <v>18</v>
      </c>
      <c r="B84" s="35" t="s">
        <v>595</v>
      </c>
      <c r="C84" s="35" t="s">
        <v>596</v>
      </c>
      <c r="D84" s="35" t="s">
        <v>599</v>
      </c>
      <c r="E84" s="35" t="s">
        <v>601</v>
      </c>
      <c r="F84" s="35" t="s">
        <v>1458</v>
      </c>
      <c r="G84" s="35" t="s">
        <v>1009</v>
      </c>
      <c r="H84" s="35" t="s">
        <v>1139</v>
      </c>
      <c r="I84" s="35" t="s">
        <v>596</v>
      </c>
      <c r="J84" s="35" t="s">
        <v>1255</v>
      </c>
      <c r="K84" s="35" t="s">
        <v>598</v>
      </c>
      <c r="L84" s="35"/>
      <c r="M84" s="36"/>
    </row>
    <row r="85" spans="1:13" x14ac:dyDescent="0.5">
      <c r="A85" s="37" t="s">
        <v>25</v>
      </c>
      <c r="B85" s="38" t="s">
        <v>602</v>
      </c>
      <c r="C85" s="38" t="s">
        <v>603</v>
      </c>
      <c r="D85" s="38" t="s">
        <v>606</v>
      </c>
      <c r="E85" s="38" t="s">
        <v>608</v>
      </c>
      <c r="F85" s="35" t="s">
        <v>1458</v>
      </c>
      <c r="G85" s="40" t="s">
        <v>1484</v>
      </c>
      <c r="H85" s="38" t="s">
        <v>378</v>
      </c>
      <c r="I85" s="38" t="s">
        <v>1256</v>
      </c>
      <c r="J85" s="38" t="s">
        <v>1257</v>
      </c>
      <c r="K85" s="38" t="s">
        <v>1258</v>
      </c>
      <c r="L85" s="38" t="s">
        <v>868</v>
      </c>
      <c r="M85" s="39"/>
    </row>
    <row r="86" spans="1:13" x14ac:dyDescent="0.5">
      <c r="A86" s="37" t="s">
        <v>25</v>
      </c>
      <c r="B86" s="38" t="s">
        <v>616</v>
      </c>
      <c r="C86" s="38" t="s">
        <v>617</v>
      </c>
      <c r="D86" s="38" t="s">
        <v>624</v>
      </c>
      <c r="E86" s="38" t="s">
        <v>622</v>
      </c>
      <c r="F86" s="35" t="s">
        <v>1458</v>
      </c>
      <c r="G86" s="38" t="s">
        <v>1009</v>
      </c>
      <c r="H86" s="38" t="s">
        <v>1262</v>
      </c>
      <c r="I86" s="38" t="s">
        <v>1263</v>
      </c>
      <c r="J86" s="38" t="s">
        <v>622</v>
      </c>
      <c r="K86" s="38" t="s">
        <v>1264</v>
      </c>
      <c r="L86" s="38" t="s">
        <v>868</v>
      </c>
      <c r="M86" s="39" t="s">
        <v>868</v>
      </c>
    </row>
    <row r="87" spans="1:13" x14ac:dyDescent="0.5">
      <c r="A87" s="37" t="s">
        <v>18</v>
      </c>
      <c r="B87" s="38" t="s">
        <v>697</v>
      </c>
      <c r="C87" s="38" t="s">
        <v>698</v>
      </c>
      <c r="D87" s="38" t="s">
        <v>701</v>
      </c>
      <c r="E87" s="38" t="s">
        <v>703</v>
      </c>
      <c r="F87" s="35" t="s">
        <v>1458</v>
      </c>
      <c r="G87" s="38" t="s">
        <v>1009</v>
      </c>
      <c r="H87" s="38" t="s">
        <v>1288</v>
      </c>
      <c r="I87" s="38" t="s">
        <v>1289</v>
      </c>
      <c r="J87" s="38" t="s">
        <v>1290</v>
      </c>
      <c r="K87" s="38" t="s">
        <v>1291</v>
      </c>
      <c r="L87" s="38" t="s">
        <v>1487</v>
      </c>
      <c r="M87" s="39"/>
    </row>
    <row r="88" spans="1:13" x14ac:dyDescent="0.5">
      <c r="A88" s="37" t="s">
        <v>18</v>
      </c>
      <c r="B88" s="38" t="s">
        <v>751</v>
      </c>
      <c r="C88" s="38" t="s">
        <v>752</v>
      </c>
      <c r="D88" s="38" t="s">
        <v>755</v>
      </c>
      <c r="E88" s="38" t="s">
        <v>757</v>
      </c>
      <c r="F88" s="35" t="s">
        <v>1458</v>
      </c>
      <c r="G88" s="38" t="s">
        <v>1009</v>
      </c>
      <c r="H88" s="38" t="s">
        <v>1308</v>
      </c>
      <c r="I88" s="38" t="s">
        <v>752</v>
      </c>
      <c r="J88" s="38" t="s">
        <v>1309</v>
      </c>
      <c r="K88" s="38" t="s">
        <v>1310</v>
      </c>
      <c r="L88" s="38" t="s">
        <v>868</v>
      </c>
      <c r="M88" s="39"/>
    </row>
    <row r="89" spans="1:13" x14ac:dyDescent="0.5">
      <c r="A89" s="34" t="s">
        <v>25</v>
      </c>
      <c r="B89" s="35" t="s">
        <v>782</v>
      </c>
      <c r="C89" s="35" t="s">
        <v>776</v>
      </c>
      <c r="D89" s="35" t="s">
        <v>779</v>
      </c>
      <c r="E89" s="35" t="s">
        <v>781</v>
      </c>
      <c r="F89" s="35" t="s">
        <v>1458</v>
      </c>
      <c r="G89" s="35" t="s">
        <v>1009</v>
      </c>
      <c r="H89" s="35" t="s">
        <v>1317</v>
      </c>
      <c r="I89" s="35" t="s">
        <v>776</v>
      </c>
      <c r="J89" s="35" t="s">
        <v>1318</v>
      </c>
      <c r="K89" s="35" t="s">
        <v>1319</v>
      </c>
      <c r="L89" s="35"/>
      <c r="M89" s="36"/>
    </row>
    <row r="90" spans="1:13" ht="84" x14ac:dyDescent="0.5">
      <c r="A90" s="37" t="s">
        <v>25</v>
      </c>
      <c r="B90" s="38" t="s">
        <v>826</v>
      </c>
      <c r="C90" s="38" t="s">
        <v>827</v>
      </c>
      <c r="D90" s="38" t="s">
        <v>829</v>
      </c>
      <c r="E90" s="38" t="s">
        <v>830</v>
      </c>
      <c r="F90" s="35" t="s">
        <v>1458</v>
      </c>
      <c r="G90" s="38" t="s">
        <v>1009</v>
      </c>
      <c r="H90" s="38" t="s">
        <v>378</v>
      </c>
      <c r="I90" s="38" t="s">
        <v>1256</v>
      </c>
      <c r="J90" s="38" t="s">
        <v>1257</v>
      </c>
      <c r="K90" s="38" t="s">
        <v>1336</v>
      </c>
      <c r="L90" s="38" t="s">
        <v>1192</v>
      </c>
      <c r="M90" s="39" t="s">
        <v>1491</v>
      </c>
    </row>
    <row r="93" spans="1:13" x14ac:dyDescent="0.5">
      <c r="A93" s="5" t="s">
        <v>0</v>
      </c>
      <c r="B93" s="5"/>
      <c r="C93" s="5"/>
      <c r="D93" s="5"/>
      <c r="E93" s="5"/>
      <c r="F93" s="5"/>
      <c r="I93" s="7" t="s">
        <v>1</v>
      </c>
      <c r="J93" s="6">
        <f>COUNTIF(A98:A110,"Herr")</f>
        <v>10</v>
      </c>
    </row>
    <row r="94" spans="1:13" x14ac:dyDescent="0.5">
      <c r="A94" s="5" t="s">
        <v>3</v>
      </c>
      <c r="B94" s="5"/>
      <c r="C94" s="5"/>
      <c r="D94" s="5"/>
      <c r="E94" s="5"/>
      <c r="F94" s="5"/>
      <c r="I94" s="7" t="s">
        <v>4</v>
      </c>
      <c r="J94" s="6">
        <f>COUNTIF(A98:A110,"Frau")</f>
        <v>3</v>
      </c>
    </row>
    <row r="95" spans="1:13" x14ac:dyDescent="0.5">
      <c r="A95" s="5" t="s">
        <v>6</v>
      </c>
      <c r="B95" s="5"/>
      <c r="C95" s="5"/>
      <c r="D95" s="5"/>
      <c r="E95" s="5"/>
      <c r="F95" s="5"/>
      <c r="I95" s="7"/>
    </row>
    <row r="96" spans="1:13" x14ac:dyDescent="0.5">
      <c r="E96" s="9"/>
      <c r="I96" s="10" t="s">
        <v>9</v>
      </c>
      <c r="J96" s="5">
        <f>SUM(J93:J94)</f>
        <v>13</v>
      </c>
    </row>
    <row r="97" spans="1:13" ht="21.5" thickBot="1" x14ac:dyDescent="0.55000000000000004">
      <c r="A97" s="11" t="s">
        <v>10</v>
      </c>
      <c r="B97" s="12" t="s">
        <v>11</v>
      </c>
      <c r="C97" s="12" t="s">
        <v>12</v>
      </c>
      <c r="D97" s="12" t="s">
        <v>15</v>
      </c>
      <c r="E97" s="12" t="s">
        <v>16</v>
      </c>
      <c r="F97" s="12" t="s">
        <v>1446</v>
      </c>
      <c r="G97" s="12" t="s">
        <v>973</v>
      </c>
      <c r="H97" s="12" t="s">
        <v>1447</v>
      </c>
      <c r="I97" s="12" t="s">
        <v>1448</v>
      </c>
      <c r="J97" s="12" t="s">
        <v>1449</v>
      </c>
      <c r="K97" s="12" t="s">
        <v>1450</v>
      </c>
      <c r="L97" s="12" t="s">
        <v>984</v>
      </c>
      <c r="M97" s="13" t="s">
        <v>987</v>
      </c>
    </row>
    <row r="98" spans="1:13" ht="21.5" thickTop="1" x14ac:dyDescent="0.5">
      <c r="A98" s="41" t="s">
        <v>25</v>
      </c>
      <c r="B98" s="42" t="s">
        <v>26</v>
      </c>
      <c r="C98" s="42" t="s">
        <v>27</v>
      </c>
      <c r="D98" s="42" t="s">
        <v>30</v>
      </c>
      <c r="E98" s="42" t="s">
        <v>32</v>
      </c>
      <c r="F98" s="42" t="s">
        <v>1457</v>
      </c>
      <c r="G98" s="43" t="s">
        <v>991</v>
      </c>
      <c r="H98" s="44" t="s">
        <v>1080</v>
      </c>
      <c r="I98" s="44" t="s">
        <v>1438</v>
      </c>
      <c r="J98" s="44" t="s">
        <v>1002</v>
      </c>
      <c r="K98" s="42" t="s">
        <v>57</v>
      </c>
      <c r="L98" s="42"/>
      <c r="M98" s="45"/>
    </row>
    <row r="99" spans="1:13" x14ac:dyDescent="0.5">
      <c r="A99" s="41" t="s">
        <v>18</v>
      </c>
      <c r="B99" s="42" t="s">
        <v>174</v>
      </c>
      <c r="C99" s="42" t="s">
        <v>175</v>
      </c>
      <c r="D99" s="42" t="s">
        <v>178</v>
      </c>
      <c r="E99" s="42" t="s">
        <v>180</v>
      </c>
      <c r="F99" s="42" t="s">
        <v>1457</v>
      </c>
      <c r="G99" s="42" t="s">
        <v>1009</v>
      </c>
      <c r="H99" s="42" t="s">
        <v>1083</v>
      </c>
      <c r="I99" s="42" t="s">
        <v>175</v>
      </c>
      <c r="J99" s="42" t="s">
        <v>1084</v>
      </c>
      <c r="K99" s="42" t="s">
        <v>1085</v>
      </c>
      <c r="L99" s="42"/>
      <c r="M99" s="45" t="s">
        <v>1197</v>
      </c>
    </row>
    <row r="100" spans="1:13" x14ac:dyDescent="0.5">
      <c r="A100" s="46" t="s">
        <v>25</v>
      </c>
      <c r="B100" s="44" t="s">
        <v>224</v>
      </c>
      <c r="C100" s="44" t="s">
        <v>225</v>
      </c>
      <c r="D100" s="44" t="s">
        <v>228</v>
      </c>
      <c r="E100" s="44" t="s">
        <v>230</v>
      </c>
      <c r="F100" s="42" t="s">
        <v>1457</v>
      </c>
      <c r="G100" s="44" t="s">
        <v>1009</v>
      </c>
      <c r="H100" s="44" t="s">
        <v>1106</v>
      </c>
      <c r="I100" s="44" t="s">
        <v>1107</v>
      </c>
      <c r="J100" s="44" t="s">
        <v>1108</v>
      </c>
      <c r="K100" s="44" t="s">
        <v>1109</v>
      </c>
      <c r="L100" s="44" t="s">
        <v>868</v>
      </c>
      <c r="M100" s="47" t="s">
        <v>1203</v>
      </c>
    </row>
    <row r="101" spans="1:13" x14ac:dyDescent="0.5">
      <c r="A101" s="41" t="s">
        <v>18</v>
      </c>
      <c r="B101" s="42" t="s">
        <v>242</v>
      </c>
      <c r="C101" s="42" t="s">
        <v>243</v>
      </c>
      <c r="D101" s="42" t="s">
        <v>246</v>
      </c>
      <c r="E101" s="42" t="s">
        <v>248</v>
      </c>
      <c r="F101" s="42" t="s">
        <v>1457</v>
      </c>
      <c r="G101" s="42" t="s">
        <v>1009</v>
      </c>
      <c r="H101" s="42" t="s">
        <v>1116</v>
      </c>
      <c r="I101" s="42" t="s">
        <v>243</v>
      </c>
      <c r="J101" s="42" t="s">
        <v>1117</v>
      </c>
      <c r="K101" s="42" t="s">
        <v>245</v>
      </c>
      <c r="L101" s="42" t="s">
        <v>1487</v>
      </c>
      <c r="M101" s="45"/>
    </row>
    <row r="102" spans="1:13" x14ac:dyDescent="0.5">
      <c r="A102" s="41" t="s">
        <v>25</v>
      </c>
      <c r="B102" s="42" t="s">
        <v>352</v>
      </c>
      <c r="C102" s="42" t="s">
        <v>346</v>
      </c>
      <c r="D102" s="42" t="s">
        <v>354</v>
      </c>
      <c r="E102" s="42" t="s">
        <v>356</v>
      </c>
      <c r="F102" s="42" t="s">
        <v>1457</v>
      </c>
      <c r="G102" s="42" t="s">
        <v>1009</v>
      </c>
      <c r="H102" s="42" t="s">
        <v>1157</v>
      </c>
      <c r="I102" s="42" t="s">
        <v>1158</v>
      </c>
      <c r="J102" s="42" t="s">
        <v>1155</v>
      </c>
      <c r="K102" s="42" t="s">
        <v>353</v>
      </c>
      <c r="L102" s="42" t="s">
        <v>983</v>
      </c>
      <c r="M102" s="45"/>
    </row>
    <row r="103" spans="1:13" x14ac:dyDescent="0.5">
      <c r="A103" s="46" t="s">
        <v>18</v>
      </c>
      <c r="B103" s="44" t="s">
        <v>378</v>
      </c>
      <c r="C103" s="44" t="s">
        <v>372</v>
      </c>
      <c r="D103" s="44" t="s">
        <v>375</v>
      </c>
      <c r="E103" s="44" t="s">
        <v>377</v>
      </c>
      <c r="F103" s="42" t="s">
        <v>1457</v>
      </c>
      <c r="G103" s="44" t="s">
        <v>1009</v>
      </c>
      <c r="H103" s="44" t="s">
        <v>1169</v>
      </c>
      <c r="I103" s="44" t="s">
        <v>1170</v>
      </c>
      <c r="J103" s="44" t="s">
        <v>1171</v>
      </c>
      <c r="K103" s="44" t="s">
        <v>1172</v>
      </c>
      <c r="L103" s="44"/>
      <c r="M103" s="47"/>
    </row>
    <row r="104" spans="1:13" x14ac:dyDescent="0.5">
      <c r="A104" s="46" t="s">
        <v>25</v>
      </c>
      <c r="B104" s="44" t="s">
        <v>527</v>
      </c>
      <c r="C104" s="44" t="s">
        <v>528</v>
      </c>
      <c r="D104" s="44" t="s">
        <v>531</v>
      </c>
      <c r="E104" s="44" t="s">
        <v>533</v>
      </c>
      <c r="F104" s="42" t="s">
        <v>1457</v>
      </c>
      <c r="G104" s="44" t="s">
        <v>1009</v>
      </c>
      <c r="H104" s="44" t="s">
        <v>1228</v>
      </c>
      <c r="I104" s="44" t="s">
        <v>1229</v>
      </c>
      <c r="J104" s="44" t="s">
        <v>1230</v>
      </c>
      <c r="K104" s="44" t="s">
        <v>530</v>
      </c>
      <c r="L104" s="44"/>
      <c r="M104" s="47"/>
    </row>
    <row r="105" spans="1:13" x14ac:dyDescent="0.5">
      <c r="A105" s="41" t="s">
        <v>25</v>
      </c>
      <c r="B105" s="42" t="s">
        <v>562</v>
      </c>
      <c r="C105" s="42" t="s">
        <v>563</v>
      </c>
      <c r="D105" s="42" t="s">
        <v>30</v>
      </c>
      <c r="E105" s="42" t="s">
        <v>567</v>
      </c>
      <c r="F105" s="42" t="s">
        <v>1457</v>
      </c>
      <c r="G105" s="43" t="s">
        <v>991</v>
      </c>
      <c r="H105" s="42" t="s">
        <v>1080</v>
      </c>
      <c r="I105" s="42" t="s">
        <v>1438</v>
      </c>
      <c r="J105" s="42" t="s">
        <v>1002</v>
      </c>
      <c r="K105" s="42" t="s">
        <v>57</v>
      </c>
      <c r="L105" s="42"/>
      <c r="M105" s="45"/>
    </row>
    <row r="106" spans="1:13" x14ac:dyDescent="0.5">
      <c r="A106" s="46" t="s">
        <v>25</v>
      </c>
      <c r="B106" s="44" t="s">
        <v>582</v>
      </c>
      <c r="C106" s="44" t="s">
        <v>583</v>
      </c>
      <c r="D106" s="44" t="s">
        <v>586</v>
      </c>
      <c r="E106" s="44" t="s">
        <v>588</v>
      </c>
      <c r="F106" s="42" t="s">
        <v>1457</v>
      </c>
      <c r="G106" s="44" t="s">
        <v>1009</v>
      </c>
      <c r="H106" s="44" t="s">
        <v>1252</v>
      </c>
      <c r="I106" s="44" t="s">
        <v>1253</v>
      </c>
      <c r="J106" s="44" t="s">
        <v>1254</v>
      </c>
      <c r="K106" s="44" t="s">
        <v>585</v>
      </c>
      <c r="L106" s="44" t="s">
        <v>868</v>
      </c>
      <c r="M106" s="47"/>
    </row>
    <row r="107" spans="1:13" x14ac:dyDescent="0.5">
      <c r="A107" s="46" t="s">
        <v>25</v>
      </c>
      <c r="B107" s="44" t="s">
        <v>609</v>
      </c>
      <c r="C107" s="44" t="s">
        <v>610</v>
      </c>
      <c r="D107" s="44" t="s">
        <v>613</v>
      </c>
      <c r="E107" s="44" t="s">
        <v>615</v>
      </c>
      <c r="F107" s="42" t="s">
        <v>1457</v>
      </c>
      <c r="G107" s="44" t="s">
        <v>1009</v>
      </c>
      <c r="H107" s="44" t="s">
        <v>1259</v>
      </c>
      <c r="I107" s="44" t="s">
        <v>1260</v>
      </c>
      <c r="J107" s="44" t="s">
        <v>615</v>
      </c>
      <c r="K107" s="44" t="s">
        <v>612</v>
      </c>
      <c r="L107" s="44" t="s">
        <v>868</v>
      </c>
      <c r="M107" s="47"/>
    </row>
    <row r="108" spans="1:13" x14ac:dyDescent="0.5">
      <c r="A108" s="41" t="s">
        <v>25</v>
      </c>
      <c r="B108" s="42" t="s">
        <v>677</v>
      </c>
      <c r="C108" s="42" t="s">
        <v>678</v>
      </c>
      <c r="D108" s="42" t="s">
        <v>681</v>
      </c>
      <c r="E108" s="42" t="s">
        <v>683</v>
      </c>
      <c r="F108" s="42" t="s">
        <v>1457</v>
      </c>
      <c r="G108" s="42" t="s">
        <v>1009</v>
      </c>
      <c r="H108" s="42" t="s">
        <v>1285</v>
      </c>
      <c r="I108" s="42" t="s">
        <v>678</v>
      </c>
      <c r="J108" s="42" t="s">
        <v>1286</v>
      </c>
      <c r="K108" s="42" t="s">
        <v>680</v>
      </c>
      <c r="L108" s="42" t="s">
        <v>868</v>
      </c>
      <c r="M108" s="45"/>
    </row>
    <row r="109" spans="1:13" x14ac:dyDescent="0.5">
      <c r="A109" s="46" t="s">
        <v>25</v>
      </c>
      <c r="B109" s="44" t="s">
        <v>684</v>
      </c>
      <c r="C109" s="44" t="s">
        <v>685</v>
      </c>
      <c r="D109" s="44" t="s">
        <v>687</v>
      </c>
      <c r="E109" s="44" t="s">
        <v>689</v>
      </c>
      <c r="F109" s="42" t="s">
        <v>1457</v>
      </c>
      <c r="G109" s="48" t="s">
        <v>991</v>
      </c>
      <c r="H109" s="44" t="s">
        <v>1080</v>
      </c>
      <c r="I109" s="44" t="s">
        <v>1438</v>
      </c>
      <c r="J109" s="44" t="s">
        <v>1002</v>
      </c>
      <c r="K109" s="44" t="s">
        <v>57</v>
      </c>
      <c r="L109" s="44" t="s">
        <v>868</v>
      </c>
      <c r="M109" s="47" t="s">
        <v>868</v>
      </c>
    </row>
    <row r="110" spans="1:13" x14ac:dyDescent="0.5">
      <c r="A110" s="46" t="s">
        <v>25</v>
      </c>
      <c r="B110" s="44" t="s">
        <v>717</v>
      </c>
      <c r="C110" s="44" t="s">
        <v>718</v>
      </c>
      <c r="D110" s="44" t="s">
        <v>720</v>
      </c>
      <c r="E110" s="44" t="s">
        <v>722</v>
      </c>
      <c r="F110" s="42" t="s">
        <v>1457</v>
      </c>
      <c r="G110" s="44" t="s">
        <v>1009</v>
      </c>
      <c r="H110" s="44" t="s">
        <v>1294</v>
      </c>
      <c r="I110" s="44" t="s">
        <v>1295</v>
      </c>
      <c r="J110" s="44" t="s">
        <v>1296</v>
      </c>
      <c r="K110" s="44" t="s">
        <v>719</v>
      </c>
      <c r="L110" s="44" t="s">
        <v>868</v>
      </c>
      <c r="M110" s="47" t="s">
        <v>868</v>
      </c>
    </row>
    <row r="113" spans="1:13" x14ac:dyDescent="0.5">
      <c r="A113" s="5" t="s">
        <v>0</v>
      </c>
      <c r="B113" s="5"/>
      <c r="C113" s="5"/>
      <c r="D113" s="5"/>
      <c r="E113" s="5"/>
      <c r="F113" s="5"/>
      <c r="I113" s="7" t="s">
        <v>1</v>
      </c>
      <c r="J113" s="6">
        <f>COUNTIF(A118:A129,"Herr")</f>
        <v>11</v>
      </c>
    </row>
    <row r="114" spans="1:13" x14ac:dyDescent="0.5">
      <c r="A114" s="5" t="s">
        <v>3</v>
      </c>
      <c r="B114" s="5"/>
      <c r="C114" s="5"/>
      <c r="D114" s="5"/>
      <c r="E114" s="5"/>
      <c r="F114" s="5"/>
      <c r="I114" s="7" t="s">
        <v>4</v>
      </c>
      <c r="J114" s="6">
        <f>COUNTIF(A118:A129,"Frau")</f>
        <v>1</v>
      </c>
    </row>
    <row r="115" spans="1:13" x14ac:dyDescent="0.5">
      <c r="A115" s="5" t="s">
        <v>6</v>
      </c>
      <c r="B115" s="5"/>
      <c r="C115" s="5"/>
      <c r="D115" s="5"/>
      <c r="E115" s="5"/>
      <c r="F115" s="5"/>
      <c r="I115" s="7"/>
    </row>
    <row r="116" spans="1:13" x14ac:dyDescent="0.5">
      <c r="E116" s="9"/>
      <c r="I116" s="10" t="s">
        <v>9</v>
      </c>
      <c r="J116" s="5">
        <f>SUM(J113:J114)</f>
        <v>12</v>
      </c>
    </row>
    <row r="117" spans="1:13" ht="21.5" thickBot="1" x14ac:dyDescent="0.55000000000000004">
      <c r="A117" s="11" t="s">
        <v>10</v>
      </c>
      <c r="B117" s="12" t="s">
        <v>11</v>
      </c>
      <c r="C117" s="12" t="s">
        <v>12</v>
      </c>
      <c r="D117" s="12" t="s">
        <v>15</v>
      </c>
      <c r="E117" s="12" t="s">
        <v>16</v>
      </c>
      <c r="F117" s="12" t="s">
        <v>1446</v>
      </c>
      <c r="G117" s="12" t="s">
        <v>973</v>
      </c>
      <c r="H117" s="12" t="s">
        <v>1447</v>
      </c>
      <c r="I117" s="12" t="s">
        <v>1448</v>
      </c>
      <c r="J117" s="12" t="s">
        <v>1449</v>
      </c>
      <c r="K117" s="12" t="s">
        <v>1450</v>
      </c>
      <c r="L117" s="12" t="s">
        <v>984</v>
      </c>
      <c r="M117" s="13" t="s">
        <v>987</v>
      </c>
    </row>
    <row r="118" spans="1:13" ht="21.5" thickTop="1" x14ac:dyDescent="0.5">
      <c r="A118" s="49" t="s">
        <v>25</v>
      </c>
      <c r="B118" s="50" t="s">
        <v>67</v>
      </c>
      <c r="C118" s="50" t="s">
        <v>68</v>
      </c>
      <c r="D118" s="50" t="s">
        <v>71</v>
      </c>
      <c r="E118" s="50" t="s">
        <v>73</v>
      </c>
      <c r="F118" s="50" t="s">
        <v>1456</v>
      </c>
      <c r="G118" s="50" t="s">
        <v>1009</v>
      </c>
      <c r="H118" s="50" t="s">
        <v>1031</v>
      </c>
      <c r="I118" s="50" t="s">
        <v>68</v>
      </c>
      <c r="J118" s="50" t="s">
        <v>1032</v>
      </c>
      <c r="K118" s="50" t="s">
        <v>1033</v>
      </c>
      <c r="L118" s="50" t="s">
        <v>868</v>
      </c>
      <c r="M118" s="51" t="s">
        <v>868</v>
      </c>
    </row>
    <row r="119" spans="1:13" x14ac:dyDescent="0.5">
      <c r="A119" s="52" t="s">
        <v>25</v>
      </c>
      <c r="B119" s="53" t="s">
        <v>87</v>
      </c>
      <c r="C119" s="53" t="s">
        <v>88</v>
      </c>
      <c r="D119" s="53" t="s">
        <v>91</v>
      </c>
      <c r="E119" s="53" t="s">
        <v>93</v>
      </c>
      <c r="F119" s="50" t="s">
        <v>1456</v>
      </c>
      <c r="G119" s="53" t="s">
        <v>1009</v>
      </c>
      <c r="H119" s="53" t="s">
        <v>1038</v>
      </c>
      <c r="I119" s="53" t="s">
        <v>88</v>
      </c>
      <c r="J119" s="53" t="s">
        <v>1039</v>
      </c>
      <c r="K119" s="53" t="s">
        <v>90</v>
      </c>
      <c r="L119" s="53" t="s">
        <v>868</v>
      </c>
      <c r="M119" s="54" t="s">
        <v>868</v>
      </c>
    </row>
    <row r="120" spans="1:13" x14ac:dyDescent="0.5">
      <c r="A120" s="49" t="s">
        <v>25</v>
      </c>
      <c r="B120" s="50" t="s">
        <v>263</v>
      </c>
      <c r="C120" s="50" t="s">
        <v>264</v>
      </c>
      <c r="D120" s="50" t="s">
        <v>267</v>
      </c>
      <c r="E120" s="50" t="s">
        <v>269</v>
      </c>
      <c r="F120" s="50" t="s">
        <v>1456</v>
      </c>
      <c r="G120" s="50" t="s">
        <v>1009</v>
      </c>
      <c r="H120" s="50" t="s">
        <v>263</v>
      </c>
      <c r="I120" s="50" t="s">
        <v>264</v>
      </c>
      <c r="J120" s="50" t="s">
        <v>269</v>
      </c>
      <c r="K120" s="50" t="s">
        <v>266</v>
      </c>
      <c r="L120" s="50" t="s">
        <v>868</v>
      </c>
      <c r="M120" s="51"/>
    </row>
    <row r="121" spans="1:13" x14ac:dyDescent="0.5">
      <c r="A121" s="49" t="s">
        <v>25</v>
      </c>
      <c r="B121" s="50" t="s">
        <v>317</v>
      </c>
      <c r="C121" s="50" t="s">
        <v>318</v>
      </c>
      <c r="D121" s="50" t="s">
        <v>321</v>
      </c>
      <c r="E121" s="50" t="s">
        <v>323</v>
      </c>
      <c r="F121" s="50" t="s">
        <v>1456</v>
      </c>
      <c r="G121" s="48" t="s">
        <v>991</v>
      </c>
      <c r="H121" s="50" t="s">
        <v>1080</v>
      </c>
      <c r="I121" s="50" t="s">
        <v>1438</v>
      </c>
      <c r="J121" s="50" t="s">
        <v>1002</v>
      </c>
      <c r="K121" s="50" t="s">
        <v>57</v>
      </c>
      <c r="L121" s="50" t="s">
        <v>868</v>
      </c>
      <c r="M121" s="51"/>
    </row>
    <row r="122" spans="1:13" x14ac:dyDescent="0.5">
      <c r="A122" s="49" t="s">
        <v>18</v>
      </c>
      <c r="B122" s="50" t="s">
        <v>431</v>
      </c>
      <c r="C122" s="50" t="s">
        <v>432</v>
      </c>
      <c r="D122" s="50" t="s">
        <v>435</v>
      </c>
      <c r="E122" s="50" t="s">
        <v>437</v>
      </c>
      <c r="F122" s="50" t="s">
        <v>1456</v>
      </c>
      <c r="G122" s="50" t="s">
        <v>1009</v>
      </c>
      <c r="H122" s="50" t="s">
        <v>1193</v>
      </c>
      <c r="I122" s="50" t="s">
        <v>432</v>
      </c>
      <c r="J122" s="50" t="s">
        <v>437</v>
      </c>
      <c r="K122" s="50" t="s">
        <v>434</v>
      </c>
      <c r="L122" s="50"/>
      <c r="M122" s="51" t="s">
        <v>868</v>
      </c>
    </row>
    <row r="123" spans="1:13" x14ac:dyDescent="0.5">
      <c r="A123" s="49" t="s">
        <v>25</v>
      </c>
      <c r="B123" s="50" t="s">
        <v>459</v>
      </c>
      <c r="C123" s="50" t="s">
        <v>460</v>
      </c>
      <c r="D123" s="50" t="s">
        <v>463</v>
      </c>
      <c r="E123" s="50" t="s">
        <v>465</v>
      </c>
      <c r="F123" s="50" t="s">
        <v>1456</v>
      </c>
      <c r="G123" s="48" t="s">
        <v>991</v>
      </c>
      <c r="H123" s="50" t="s">
        <v>1080</v>
      </c>
      <c r="I123" s="50" t="s">
        <v>1438</v>
      </c>
      <c r="J123" s="50" t="s">
        <v>1002</v>
      </c>
      <c r="K123" s="50" t="s">
        <v>57</v>
      </c>
      <c r="L123" s="50" t="s">
        <v>868</v>
      </c>
      <c r="M123" s="51" t="s">
        <v>1244</v>
      </c>
    </row>
    <row r="124" spans="1:13" x14ac:dyDescent="0.5">
      <c r="A124" s="52" t="s">
        <v>25</v>
      </c>
      <c r="B124" s="53" t="s">
        <v>466</v>
      </c>
      <c r="C124" s="53" t="s">
        <v>467</v>
      </c>
      <c r="D124" s="53" t="s">
        <v>470</v>
      </c>
      <c r="E124" s="53" t="s">
        <v>472</v>
      </c>
      <c r="F124" s="50" t="s">
        <v>1456</v>
      </c>
      <c r="G124" s="53" t="s">
        <v>1009</v>
      </c>
      <c r="H124" s="53" t="s">
        <v>1207</v>
      </c>
      <c r="I124" s="53" t="s">
        <v>467</v>
      </c>
      <c r="J124" s="53" t="s">
        <v>472</v>
      </c>
      <c r="K124" s="53" t="s">
        <v>469</v>
      </c>
      <c r="L124" s="53" t="s">
        <v>1487</v>
      </c>
      <c r="M124" s="54"/>
    </row>
    <row r="125" spans="1:13" x14ac:dyDescent="0.5">
      <c r="A125" s="49" t="s">
        <v>25</v>
      </c>
      <c r="B125" s="50" t="s">
        <v>473</v>
      </c>
      <c r="C125" s="50" t="s">
        <v>467</v>
      </c>
      <c r="D125" s="50" t="s">
        <v>470</v>
      </c>
      <c r="E125" s="50" t="s">
        <v>472</v>
      </c>
      <c r="F125" s="50" t="s">
        <v>1456</v>
      </c>
      <c r="G125" s="50" t="s">
        <v>1009</v>
      </c>
      <c r="H125" s="50" t="s">
        <v>1207</v>
      </c>
      <c r="I125" s="50" t="s">
        <v>1210</v>
      </c>
      <c r="J125" s="50" t="s">
        <v>472</v>
      </c>
      <c r="K125" s="50" t="s">
        <v>469</v>
      </c>
      <c r="L125" s="50" t="s">
        <v>868</v>
      </c>
      <c r="M125" s="51"/>
    </row>
    <row r="126" spans="1:13" x14ac:dyDescent="0.5">
      <c r="A126" s="76" t="s">
        <v>25</v>
      </c>
      <c r="B126" s="77" t="s">
        <v>1499</v>
      </c>
      <c r="C126" s="77" t="s">
        <v>476</v>
      </c>
      <c r="D126" s="77" t="s">
        <v>479</v>
      </c>
      <c r="E126" s="77" t="s">
        <v>481</v>
      </c>
      <c r="F126" s="78" t="s">
        <v>1456</v>
      </c>
      <c r="G126" s="77" t="s">
        <v>1009</v>
      </c>
      <c r="H126" s="77" t="s">
        <v>1211</v>
      </c>
      <c r="I126" s="77" t="s">
        <v>1212</v>
      </c>
      <c r="J126" s="77" t="s">
        <v>1213</v>
      </c>
      <c r="K126" s="77" t="s">
        <v>1214</v>
      </c>
      <c r="L126" s="53" t="s">
        <v>868</v>
      </c>
      <c r="M126" s="54"/>
    </row>
    <row r="127" spans="1:13" x14ac:dyDescent="0.5">
      <c r="A127" s="52" t="s">
        <v>25</v>
      </c>
      <c r="B127" s="53" t="s">
        <v>589</v>
      </c>
      <c r="C127" s="53" t="s">
        <v>590</v>
      </c>
      <c r="D127" s="53" t="s">
        <v>30</v>
      </c>
      <c r="E127" s="53" t="s">
        <v>594</v>
      </c>
      <c r="F127" s="50" t="s">
        <v>1456</v>
      </c>
      <c r="G127" s="43" t="s">
        <v>991</v>
      </c>
      <c r="H127" s="53" t="s">
        <v>1080</v>
      </c>
      <c r="I127" s="53" t="s">
        <v>1438</v>
      </c>
      <c r="J127" s="53" t="s">
        <v>1002</v>
      </c>
      <c r="K127" s="53" t="s">
        <v>57</v>
      </c>
      <c r="L127" s="53" t="s">
        <v>868</v>
      </c>
      <c r="M127" s="54"/>
    </row>
    <row r="128" spans="1:13" x14ac:dyDescent="0.5">
      <c r="A128" s="52" t="s">
        <v>25</v>
      </c>
      <c r="B128" s="53" t="s">
        <v>640</v>
      </c>
      <c r="C128" s="53" t="s">
        <v>641</v>
      </c>
      <c r="D128" s="53" t="s">
        <v>644</v>
      </c>
      <c r="E128" s="53" t="s">
        <v>646</v>
      </c>
      <c r="F128" s="50" t="s">
        <v>1456</v>
      </c>
      <c r="G128" s="53" t="s">
        <v>1009</v>
      </c>
      <c r="H128" s="53" t="s">
        <v>1271</v>
      </c>
      <c r="I128" s="53" t="s">
        <v>1272</v>
      </c>
      <c r="J128" s="53" t="s">
        <v>1273</v>
      </c>
      <c r="K128" s="53" t="s">
        <v>643</v>
      </c>
      <c r="L128" s="53" t="s">
        <v>1487</v>
      </c>
      <c r="M128" s="54"/>
    </row>
    <row r="129" spans="1:13" x14ac:dyDescent="0.5">
      <c r="A129" s="52" t="s">
        <v>25</v>
      </c>
      <c r="B129" s="53" t="s">
        <v>723</v>
      </c>
      <c r="C129" s="53" t="s">
        <v>724</v>
      </c>
      <c r="D129" s="53" t="s">
        <v>727</v>
      </c>
      <c r="E129" s="53" t="s">
        <v>729</v>
      </c>
      <c r="F129" s="50" t="s">
        <v>1456</v>
      </c>
      <c r="G129" s="53" t="s">
        <v>1009</v>
      </c>
      <c r="H129" s="53" t="s">
        <v>1297</v>
      </c>
      <c r="I129" s="53" t="s">
        <v>724</v>
      </c>
      <c r="J129" s="53" t="s">
        <v>729</v>
      </c>
      <c r="K129" s="53" t="s">
        <v>726</v>
      </c>
      <c r="L129" s="53"/>
      <c r="M129" s="54"/>
    </row>
    <row r="130" spans="1:13" x14ac:dyDescent="0.5">
      <c r="A130" s="79" t="s">
        <v>1500</v>
      </c>
      <c r="B130" s="79"/>
      <c r="C130" s="79"/>
      <c r="D130" s="79"/>
      <c r="E130" s="79"/>
    </row>
    <row r="132" spans="1:13" x14ac:dyDescent="0.5">
      <c r="A132" s="5" t="s">
        <v>0</v>
      </c>
      <c r="B132" s="5"/>
      <c r="C132" s="5"/>
      <c r="D132" s="5"/>
      <c r="E132" s="5"/>
      <c r="F132" s="5"/>
      <c r="I132" s="7" t="s">
        <v>1</v>
      </c>
      <c r="J132" s="6">
        <f>COUNTIF(A137:A151,"Herr")</f>
        <v>6</v>
      </c>
    </row>
    <row r="133" spans="1:13" x14ac:dyDescent="0.5">
      <c r="A133" s="5" t="s">
        <v>3</v>
      </c>
      <c r="B133" s="5"/>
      <c r="C133" s="5"/>
      <c r="D133" s="5"/>
      <c r="E133" s="5"/>
      <c r="F133" s="5"/>
      <c r="I133" s="7" t="s">
        <v>4</v>
      </c>
      <c r="J133" s="6">
        <f>COUNTIF(A137:A151,"Frau")</f>
        <v>9</v>
      </c>
    </row>
    <row r="134" spans="1:13" x14ac:dyDescent="0.5">
      <c r="A134" s="5" t="s">
        <v>6</v>
      </c>
      <c r="B134" s="5"/>
      <c r="C134" s="5"/>
      <c r="D134" s="5"/>
      <c r="E134" s="5"/>
      <c r="F134" s="5"/>
      <c r="I134" s="7"/>
    </row>
    <row r="135" spans="1:13" x14ac:dyDescent="0.5">
      <c r="E135" s="9"/>
      <c r="I135" s="10" t="s">
        <v>9</v>
      </c>
      <c r="J135" s="5">
        <f>SUM(J132:J133)</f>
        <v>15</v>
      </c>
    </row>
    <row r="136" spans="1:13" ht="21.5" thickBot="1" x14ac:dyDescent="0.55000000000000004">
      <c r="A136" s="11" t="s">
        <v>10</v>
      </c>
      <c r="B136" s="12" t="s">
        <v>11</v>
      </c>
      <c r="C136" s="12" t="s">
        <v>12</v>
      </c>
      <c r="D136" s="12" t="s">
        <v>15</v>
      </c>
      <c r="E136" s="12" t="s">
        <v>16</v>
      </c>
      <c r="F136" s="12" t="s">
        <v>1446</v>
      </c>
      <c r="G136" s="12" t="s">
        <v>973</v>
      </c>
      <c r="H136" s="12" t="s">
        <v>1447</v>
      </c>
      <c r="I136" s="12" t="s">
        <v>1448</v>
      </c>
      <c r="J136" s="12" t="s">
        <v>1449</v>
      </c>
      <c r="K136" s="12" t="s">
        <v>1450</v>
      </c>
      <c r="L136" s="12" t="s">
        <v>984</v>
      </c>
      <c r="M136" s="13" t="s">
        <v>987</v>
      </c>
    </row>
    <row r="137" spans="1:13" ht="21.5" thickTop="1" x14ac:dyDescent="0.5">
      <c r="A137" s="55" t="s">
        <v>18</v>
      </c>
      <c r="B137" s="56" t="s">
        <v>33</v>
      </c>
      <c r="C137" s="56" t="s">
        <v>34</v>
      </c>
      <c r="D137" s="56" t="s">
        <v>37</v>
      </c>
      <c r="E137" s="56" t="s">
        <v>39</v>
      </c>
      <c r="F137" s="56" t="s">
        <v>1455</v>
      </c>
      <c r="G137" s="56" t="s">
        <v>1009</v>
      </c>
      <c r="H137" s="56" t="s">
        <v>548</v>
      </c>
      <c r="I137" s="56" t="s">
        <v>34</v>
      </c>
      <c r="J137" s="56" t="s">
        <v>1010</v>
      </c>
      <c r="K137" s="56" t="s">
        <v>36</v>
      </c>
      <c r="L137" s="56"/>
      <c r="M137" s="57"/>
    </row>
    <row r="138" spans="1:13" x14ac:dyDescent="0.5">
      <c r="A138" s="55" t="s">
        <v>25</v>
      </c>
      <c r="B138" s="56" t="s">
        <v>1470</v>
      </c>
      <c r="C138" s="56" t="s">
        <v>131</v>
      </c>
      <c r="D138" s="56" t="s">
        <v>134</v>
      </c>
      <c r="E138" s="56" t="s">
        <v>136</v>
      </c>
      <c r="F138" s="56" t="s">
        <v>1455</v>
      </c>
      <c r="G138" s="56" t="s">
        <v>1009</v>
      </c>
      <c r="H138" s="56" t="s">
        <v>1045</v>
      </c>
      <c r="I138" s="56" t="s">
        <v>131</v>
      </c>
      <c r="J138" s="56" t="s">
        <v>1061</v>
      </c>
      <c r="K138" s="56" t="s">
        <v>1062</v>
      </c>
      <c r="L138" s="56" t="s">
        <v>868</v>
      </c>
      <c r="M138" s="57" t="s">
        <v>868</v>
      </c>
    </row>
    <row r="139" spans="1:13" x14ac:dyDescent="0.5">
      <c r="A139" s="55" t="s">
        <v>18</v>
      </c>
      <c r="B139" s="56" t="s">
        <v>249</v>
      </c>
      <c r="C139" s="56" t="s">
        <v>250</v>
      </c>
      <c r="D139" s="56" t="s">
        <v>253</v>
      </c>
      <c r="E139" s="56" t="s">
        <v>255</v>
      </c>
      <c r="F139" s="56" t="s">
        <v>1455</v>
      </c>
      <c r="G139" s="56" t="s">
        <v>1009</v>
      </c>
      <c r="H139" s="56" t="s">
        <v>1119</v>
      </c>
      <c r="I139" s="56" t="s">
        <v>1120</v>
      </c>
      <c r="J139" s="56" t="s">
        <v>1121</v>
      </c>
      <c r="K139" s="56" t="s">
        <v>1122</v>
      </c>
      <c r="L139" s="56" t="s">
        <v>868</v>
      </c>
      <c r="M139" s="57" t="s">
        <v>868</v>
      </c>
    </row>
    <row r="140" spans="1:13" x14ac:dyDescent="0.5">
      <c r="A140" s="55" t="s">
        <v>25</v>
      </c>
      <c r="B140" s="56" t="s">
        <v>290</v>
      </c>
      <c r="C140" s="56" t="s">
        <v>291</v>
      </c>
      <c r="D140" s="56" t="s">
        <v>294</v>
      </c>
      <c r="E140" s="56" t="s">
        <v>296</v>
      </c>
      <c r="F140" s="56" t="s">
        <v>1455</v>
      </c>
      <c r="G140" s="56" t="s">
        <v>1009</v>
      </c>
      <c r="H140" s="56" t="s">
        <v>1134</v>
      </c>
      <c r="I140" s="56" t="s">
        <v>291</v>
      </c>
      <c r="J140" s="56" t="s">
        <v>1135</v>
      </c>
      <c r="K140" s="56" t="s">
        <v>293</v>
      </c>
      <c r="L140" s="56" t="s">
        <v>868</v>
      </c>
      <c r="M140" s="57" t="s">
        <v>868</v>
      </c>
    </row>
    <row r="141" spans="1:13" x14ac:dyDescent="0.5">
      <c r="A141" s="58" t="s">
        <v>18</v>
      </c>
      <c r="B141" s="59" t="s">
        <v>402</v>
      </c>
      <c r="C141" s="59" t="s">
        <v>403</v>
      </c>
      <c r="D141" s="59" t="s">
        <v>152</v>
      </c>
      <c r="E141" s="59" t="s">
        <v>407</v>
      </c>
      <c r="F141" s="56" t="s">
        <v>1455</v>
      </c>
      <c r="G141" s="59" t="s">
        <v>1009</v>
      </c>
      <c r="H141" s="59" t="s">
        <v>1178</v>
      </c>
      <c r="I141" s="59" t="s">
        <v>403</v>
      </c>
      <c r="J141" s="59" t="s">
        <v>1179</v>
      </c>
      <c r="K141" s="59" t="s">
        <v>1180</v>
      </c>
      <c r="L141" s="59" t="s">
        <v>868</v>
      </c>
      <c r="M141" s="60"/>
    </row>
    <row r="142" spans="1:13" x14ac:dyDescent="0.5">
      <c r="A142" s="58" t="s">
        <v>25</v>
      </c>
      <c r="B142" s="59" t="s">
        <v>414</v>
      </c>
      <c r="C142" s="59" t="s">
        <v>415</v>
      </c>
      <c r="D142" s="59" t="s">
        <v>418</v>
      </c>
      <c r="E142" s="59" t="s">
        <v>420</v>
      </c>
      <c r="F142" s="56" t="s">
        <v>1455</v>
      </c>
      <c r="G142" s="59" t="s">
        <v>1009</v>
      </c>
      <c r="H142" s="59" t="s">
        <v>1080</v>
      </c>
      <c r="I142" s="59" t="s">
        <v>415</v>
      </c>
      <c r="J142" s="59" t="s">
        <v>1185</v>
      </c>
      <c r="K142" s="59" t="s">
        <v>417</v>
      </c>
      <c r="L142" s="59" t="s">
        <v>868</v>
      </c>
      <c r="M142" s="60"/>
    </row>
    <row r="143" spans="1:13" x14ac:dyDescent="0.5">
      <c r="A143" s="58" t="s">
        <v>25</v>
      </c>
      <c r="B143" s="59" t="s">
        <v>548</v>
      </c>
      <c r="C143" s="59" t="s">
        <v>549</v>
      </c>
      <c r="D143" s="59" t="s">
        <v>552</v>
      </c>
      <c r="E143" s="59" t="s">
        <v>554</v>
      </c>
      <c r="F143" s="56" t="s">
        <v>1455</v>
      </c>
      <c r="G143" s="59" t="s">
        <v>1009</v>
      </c>
      <c r="H143" s="59" t="s">
        <v>1238</v>
      </c>
      <c r="I143" s="59" t="s">
        <v>1239</v>
      </c>
      <c r="J143" s="59" t="s">
        <v>1240</v>
      </c>
      <c r="K143" s="59" t="s">
        <v>551</v>
      </c>
      <c r="L143" s="59"/>
      <c r="M143" s="60"/>
    </row>
    <row r="144" spans="1:13" x14ac:dyDescent="0.5">
      <c r="A144" s="58" t="s">
        <v>25</v>
      </c>
      <c r="B144" s="59" t="s">
        <v>575</v>
      </c>
      <c r="C144" s="59" t="s">
        <v>576</v>
      </c>
      <c r="D144" s="59" t="s">
        <v>579</v>
      </c>
      <c r="E144" s="59" t="s">
        <v>581</v>
      </c>
      <c r="F144" s="56" t="s">
        <v>1455</v>
      </c>
      <c r="G144" s="59" t="s">
        <v>1009</v>
      </c>
      <c r="H144" s="59" t="s">
        <v>1248</v>
      </c>
      <c r="I144" s="59" t="s">
        <v>1249</v>
      </c>
      <c r="J144" s="59" t="s">
        <v>1250</v>
      </c>
      <c r="K144" s="59" t="s">
        <v>578</v>
      </c>
      <c r="L144" s="59" t="s">
        <v>868</v>
      </c>
      <c r="M144" s="60"/>
    </row>
    <row r="145" spans="1:13" x14ac:dyDescent="0.5">
      <c r="A145" s="55" t="s">
        <v>18</v>
      </c>
      <c r="B145" s="56" t="s">
        <v>378</v>
      </c>
      <c r="C145" s="56" t="s">
        <v>661</v>
      </c>
      <c r="D145" s="56" t="s">
        <v>79</v>
      </c>
      <c r="E145" s="56" t="s">
        <v>670</v>
      </c>
      <c r="F145" s="56" t="s">
        <v>1455</v>
      </c>
      <c r="G145" s="56" t="s">
        <v>1009</v>
      </c>
      <c r="H145" s="56" t="s">
        <v>1281</v>
      </c>
      <c r="I145" s="56" t="s">
        <v>661</v>
      </c>
      <c r="J145" s="56" t="s">
        <v>1282</v>
      </c>
      <c r="K145" s="56" t="s">
        <v>1283</v>
      </c>
      <c r="L145" s="56"/>
      <c r="M145" s="57"/>
    </row>
    <row r="146" spans="1:13" x14ac:dyDescent="0.5">
      <c r="A146" s="58" t="s">
        <v>18</v>
      </c>
      <c r="B146" s="59" t="s">
        <v>690</v>
      </c>
      <c r="C146" s="59" t="s">
        <v>691</v>
      </c>
      <c r="D146" s="59" t="s">
        <v>694</v>
      </c>
      <c r="E146" s="59" t="s">
        <v>696</v>
      </c>
      <c r="F146" s="56" t="s">
        <v>1455</v>
      </c>
      <c r="G146" s="59" t="s">
        <v>1009</v>
      </c>
      <c r="H146" s="59" t="s">
        <v>398</v>
      </c>
      <c r="I146" s="59" t="s">
        <v>691</v>
      </c>
      <c r="J146" s="59" t="s">
        <v>1287</v>
      </c>
      <c r="K146" s="59" t="s">
        <v>693</v>
      </c>
      <c r="L146" s="59"/>
      <c r="M146" s="60"/>
    </row>
    <row r="147" spans="1:13" x14ac:dyDescent="0.5">
      <c r="A147" s="58" t="s">
        <v>18</v>
      </c>
      <c r="B147" s="59" t="s">
        <v>737</v>
      </c>
      <c r="C147" s="59" t="s">
        <v>738</v>
      </c>
      <c r="D147" s="59" t="s">
        <v>741</v>
      </c>
      <c r="E147" s="59" t="s">
        <v>743</v>
      </c>
      <c r="F147" s="56" t="s">
        <v>1455</v>
      </c>
      <c r="G147" s="59" t="s">
        <v>1009</v>
      </c>
      <c r="H147" s="59" t="s">
        <v>1302</v>
      </c>
      <c r="I147" s="59" t="s">
        <v>738</v>
      </c>
      <c r="J147" s="59" t="s">
        <v>1303</v>
      </c>
      <c r="K147" s="59" t="s">
        <v>1304</v>
      </c>
      <c r="L147" s="59"/>
      <c r="M147" s="60"/>
    </row>
    <row r="148" spans="1:13" x14ac:dyDescent="0.5">
      <c r="A148" s="58" t="s">
        <v>18</v>
      </c>
      <c r="B148" s="59" t="s">
        <v>770</v>
      </c>
      <c r="C148" s="59" t="s">
        <v>764</v>
      </c>
      <c r="D148" s="59" t="s">
        <v>772</v>
      </c>
      <c r="E148" s="59" t="s">
        <v>768</v>
      </c>
      <c r="F148" s="56" t="s">
        <v>1455</v>
      </c>
      <c r="G148" s="59" t="s">
        <v>1009</v>
      </c>
      <c r="H148" s="59" t="s">
        <v>1313</v>
      </c>
      <c r="I148" s="59" t="s">
        <v>764</v>
      </c>
      <c r="J148" s="59" t="s">
        <v>768</v>
      </c>
      <c r="K148" s="59" t="s">
        <v>1315</v>
      </c>
      <c r="L148" s="59"/>
      <c r="M148" s="60"/>
    </row>
    <row r="149" spans="1:13" x14ac:dyDescent="0.5">
      <c r="A149" s="55" t="s">
        <v>18</v>
      </c>
      <c r="B149" s="56" t="s">
        <v>806</v>
      </c>
      <c r="C149" s="56" t="s">
        <v>807</v>
      </c>
      <c r="D149" s="56" t="s">
        <v>810</v>
      </c>
      <c r="E149" s="56" t="s">
        <v>812</v>
      </c>
      <c r="F149" s="56" t="s">
        <v>1455</v>
      </c>
      <c r="G149" s="56" t="s">
        <v>1009</v>
      </c>
      <c r="H149" s="56" t="s">
        <v>1327</v>
      </c>
      <c r="I149" s="56" t="s">
        <v>1328</v>
      </c>
      <c r="J149" s="56" t="s">
        <v>1329</v>
      </c>
      <c r="K149" s="56" t="s">
        <v>1330</v>
      </c>
      <c r="L149" s="56" t="s">
        <v>1487</v>
      </c>
      <c r="M149" s="57"/>
    </row>
    <row r="150" spans="1:13" x14ac:dyDescent="0.5">
      <c r="A150" s="58" t="s">
        <v>25</v>
      </c>
      <c r="B150" s="59" t="s">
        <v>838</v>
      </c>
      <c r="C150" s="59" t="s">
        <v>839</v>
      </c>
      <c r="D150" s="59" t="s">
        <v>842</v>
      </c>
      <c r="E150" s="59" t="s">
        <v>844</v>
      </c>
      <c r="F150" s="56" t="s">
        <v>1455</v>
      </c>
      <c r="G150" s="40" t="s">
        <v>1483</v>
      </c>
      <c r="H150" s="59" t="s">
        <v>1340</v>
      </c>
      <c r="I150" s="59" t="s">
        <v>1341</v>
      </c>
      <c r="J150" s="59" t="s">
        <v>1342</v>
      </c>
      <c r="K150" s="59" t="s">
        <v>841</v>
      </c>
      <c r="L150" s="59" t="s">
        <v>868</v>
      </c>
      <c r="M150" s="60"/>
    </row>
    <row r="151" spans="1:13" x14ac:dyDescent="0.5">
      <c r="A151" s="58" t="s">
        <v>18</v>
      </c>
      <c r="B151" s="59" t="s">
        <v>849</v>
      </c>
      <c r="C151" s="59" t="s">
        <v>839</v>
      </c>
      <c r="D151" s="59" t="s">
        <v>850</v>
      </c>
      <c r="E151" s="59" t="s">
        <v>852</v>
      </c>
      <c r="F151" s="56" t="s">
        <v>1455</v>
      </c>
      <c r="G151" s="59" t="s">
        <v>1009</v>
      </c>
      <c r="H151" s="59" t="s">
        <v>1340</v>
      </c>
      <c r="I151" s="59" t="s">
        <v>1343</v>
      </c>
      <c r="J151" s="59" t="s">
        <v>1342</v>
      </c>
      <c r="K151" s="59" t="s">
        <v>841</v>
      </c>
      <c r="L151" s="59" t="s">
        <v>868</v>
      </c>
      <c r="M151" s="60"/>
    </row>
    <row r="154" spans="1:13" x14ac:dyDescent="0.5">
      <c r="A154" s="5" t="s">
        <v>0</v>
      </c>
      <c r="B154" s="5"/>
      <c r="C154" s="5"/>
      <c r="D154" s="5"/>
      <c r="E154" s="5"/>
      <c r="F154" s="5"/>
      <c r="I154" s="7" t="s">
        <v>1</v>
      </c>
      <c r="J154" s="6">
        <f>COUNTIF(A159:A170,"Herr")</f>
        <v>5</v>
      </c>
    </row>
    <row r="155" spans="1:13" x14ac:dyDescent="0.5">
      <c r="A155" s="5" t="s">
        <v>3</v>
      </c>
      <c r="B155" s="5"/>
      <c r="C155" s="5"/>
      <c r="D155" s="5"/>
      <c r="E155" s="5"/>
      <c r="F155" s="5"/>
      <c r="I155" s="7" t="s">
        <v>4</v>
      </c>
      <c r="J155" s="6">
        <f>COUNTIF(A159:A170,"Frau")</f>
        <v>7</v>
      </c>
    </row>
    <row r="156" spans="1:13" x14ac:dyDescent="0.5">
      <c r="A156" s="5" t="s">
        <v>6</v>
      </c>
      <c r="B156" s="5"/>
      <c r="C156" s="5"/>
      <c r="D156" s="5"/>
      <c r="E156" s="5"/>
      <c r="F156" s="5"/>
      <c r="I156" s="7"/>
    </row>
    <row r="157" spans="1:13" x14ac:dyDescent="0.5">
      <c r="E157" s="9"/>
      <c r="I157" s="10" t="s">
        <v>9</v>
      </c>
      <c r="J157" s="5">
        <f>SUM(J154:J155)</f>
        <v>12</v>
      </c>
    </row>
    <row r="158" spans="1:13" ht="21.5" thickBot="1" x14ac:dyDescent="0.55000000000000004">
      <c r="A158" s="11" t="s">
        <v>10</v>
      </c>
      <c r="B158" s="12" t="s">
        <v>11</v>
      </c>
      <c r="C158" s="12" t="s">
        <v>12</v>
      </c>
      <c r="D158" s="12" t="s">
        <v>15</v>
      </c>
      <c r="E158" s="12" t="s">
        <v>16</v>
      </c>
      <c r="F158" s="12" t="s">
        <v>1446</v>
      </c>
      <c r="G158" s="12" t="s">
        <v>973</v>
      </c>
      <c r="H158" s="12" t="s">
        <v>1447</v>
      </c>
      <c r="I158" s="12" t="s">
        <v>1448</v>
      </c>
      <c r="J158" s="12" t="s">
        <v>1449</v>
      </c>
      <c r="K158" s="12" t="s">
        <v>1450</v>
      </c>
      <c r="L158" s="12" t="s">
        <v>984</v>
      </c>
      <c r="M158" s="13" t="s">
        <v>987</v>
      </c>
    </row>
    <row r="159" spans="1:13" ht="21.5" thickTop="1" x14ac:dyDescent="0.5">
      <c r="A159" s="61" t="s">
        <v>18</v>
      </c>
      <c r="B159" s="62" t="s">
        <v>75</v>
      </c>
      <c r="C159" s="62" t="s">
        <v>76</v>
      </c>
      <c r="D159" s="62" t="s">
        <v>84</v>
      </c>
      <c r="E159" s="62" t="s">
        <v>86</v>
      </c>
      <c r="F159" s="62" t="s">
        <v>1453</v>
      </c>
      <c r="G159" s="62" t="s">
        <v>1009</v>
      </c>
      <c r="H159" s="62" t="s">
        <v>438</v>
      </c>
      <c r="I159" s="62" t="s">
        <v>76</v>
      </c>
      <c r="J159" s="62" t="s">
        <v>1035</v>
      </c>
      <c r="K159" s="62" t="s">
        <v>1036</v>
      </c>
      <c r="L159" s="62" t="s">
        <v>868</v>
      </c>
      <c r="M159" s="63"/>
    </row>
    <row r="160" spans="1:13" x14ac:dyDescent="0.5">
      <c r="A160" s="64" t="s">
        <v>25</v>
      </c>
      <c r="B160" s="65" t="s">
        <v>82</v>
      </c>
      <c r="C160" s="65" t="s">
        <v>76</v>
      </c>
      <c r="D160" s="65" t="s">
        <v>79</v>
      </c>
      <c r="E160" s="65" t="s">
        <v>81</v>
      </c>
      <c r="F160" s="62" t="s">
        <v>1453</v>
      </c>
      <c r="G160" s="65" t="s">
        <v>1009</v>
      </c>
      <c r="H160" s="65" t="s">
        <v>438</v>
      </c>
      <c r="I160" s="65" t="s">
        <v>76</v>
      </c>
      <c r="J160" s="65" t="s">
        <v>1035</v>
      </c>
      <c r="K160" s="65" t="s">
        <v>1036</v>
      </c>
      <c r="L160" s="65"/>
      <c r="M160" s="66"/>
    </row>
    <row r="161" spans="1:13" x14ac:dyDescent="0.5">
      <c r="A161" s="61" t="s">
        <v>25</v>
      </c>
      <c r="B161" s="62" t="s">
        <v>101</v>
      </c>
      <c r="C161" s="62" t="s">
        <v>102</v>
      </c>
      <c r="D161" s="62" t="s">
        <v>105</v>
      </c>
      <c r="E161" s="62" t="s">
        <v>107</v>
      </c>
      <c r="F161" s="62" t="s">
        <v>1453</v>
      </c>
      <c r="G161" s="62" t="s">
        <v>1009</v>
      </c>
      <c r="H161" s="62" t="s">
        <v>1045</v>
      </c>
      <c r="I161" s="62" t="s">
        <v>1046</v>
      </c>
      <c r="J161" s="62" t="s">
        <v>1047</v>
      </c>
      <c r="K161" s="62" t="s">
        <v>104</v>
      </c>
      <c r="L161" s="62" t="s">
        <v>868</v>
      </c>
      <c r="M161" s="63"/>
    </row>
    <row r="162" spans="1:13" x14ac:dyDescent="0.5">
      <c r="A162" s="61" t="s">
        <v>18</v>
      </c>
      <c r="B162" s="62" t="s">
        <v>438</v>
      </c>
      <c r="C162" s="62" t="s">
        <v>439</v>
      </c>
      <c r="D162" s="62" t="s">
        <v>442</v>
      </c>
      <c r="E162" s="62" t="s">
        <v>444</v>
      </c>
      <c r="F162" s="62" t="s">
        <v>1453</v>
      </c>
      <c r="G162" s="62" t="s">
        <v>1009</v>
      </c>
      <c r="H162" s="62" t="s">
        <v>1103</v>
      </c>
      <c r="I162" s="62" t="s">
        <v>439</v>
      </c>
      <c r="J162" s="62" t="s">
        <v>1195</v>
      </c>
      <c r="K162" s="62" t="s">
        <v>441</v>
      </c>
      <c r="L162" s="62" t="s">
        <v>868</v>
      </c>
      <c r="M162" s="63"/>
    </row>
    <row r="163" spans="1:13" x14ac:dyDescent="0.5">
      <c r="A163" s="64" t="s">
        <v>18</v>
      </c>
      <c r="B163" s="65" t="s">
        <v>482</v>
      </c>
      <c r="C163" s="65" t="s">
        <v>483</v>
      </c>
      <c r="D163" s="65" t="s">
        <v>486</v>
      </c>
      <c r="E163" s="65" t="s">
        <v>488</v>
      </c>
      <c r="F163" s="62" t="s">
        <v>1453</v>
      </c>
      <c r="G163" s="65" t="s">
        <v>1009</v>
      </c>
      <c r="H163" s="65" t="s">
        <v>801</v>
      </c>
      <c r="I163" s="65" t="s">
        <v>483</v>
      </c>
      <c r="J163" s="65" t="s">
        <v>1215</v>
      </c>
      <c r="K163" s="65" t="s">
        <v>1216</v>
      </c>
      <c r="L163" s="65"/>
      <c r="M163" s="66"/>
    </row>
    <row r="164" spans="1:13" x14ac:dyDescent="0.5">
      <c r="A164" s="61" t="s">
        <v>18</v>
      </c>
      <c r="B164" s="62" t="s">
        <v>534</v>
      </c>
      <c r="C164" s="62" t="s">
        <v>535</v>
      </c>
      <c r="D164" s="62" t="s">
        <v>538</v>
      </c>
      <c r="E164" s="62" t="s">
        <v>540</v>
      </c>
      <c r="F164" s="62" t="s">
        <v>1453</v>
      </c>
      <c r="G164" s="62" t="s">
        <v>1009</v>
      </c>
      <c r="H164" s="62" t="s">
        <v>1232</v>
      </c>
      <c r="I164" s="62" t="s">
        <v>1233</v>
      </c>
      <c r="J164" s="62" t="s">
        <v>1234</v>
      </c>
      <c r="K164" s="62" t="s">
        <v>537</v>
      </c>
      <c r="L164" s="62" t="s">
        <v>868</v>
      </c>
      <c r="M164" s="63" t="s">
        <v>868</v>
      </c>
    </row>
    <row r="165" spans="1:13" x14ac:dyDescent="0.5">
      <c r="A165" s="64" t="s">
        <v>25</v>
      </c>
      <c r="B165" s="65" t="s">
        <v>541</v>
      </c>
      <c r="C165" s="65" t="s">
        <v>542</v>
      </c>
      <c r="D165" s="65" t="s">
        <v>545</v>
      </c>
      <c r="E165" s="65" t="s">
        <v>547</v>
      </c>
      <c r="F165" s="62" t="s">
        <v>1453</v>
      </c>
      <c r="G165" s="65" t="s">
        <v>1009</v>
      </c>
      <c r="H165" s="65" t="s">
        <v>1235</v>
      </c>
      <c r="I165" s="65" t="s">
        <v>542</v>
      </c>
      <c r="J165" s="65" t="s">
        <v>547</v>
      </c>
      <c r="K165" s="65" t="s">
        <v>1236</v>
      </c>
      <c r="L165" s="65" t="s">
        <v>868</v>
      </c>
      <c r="M165" s="66" t="s">
        <v>1305</v>
      </c>
    </row>
    <row r="166" spans="1:13" x14ac:dyDescent="0.5">
      <c r="A166" s="64" t="s">
        <v>18</v>
      </c>
      <c r="B166" s="65" t="s">
        <v>633</v>
      </c>
      <c r="C166" s="65" t="s">
        <v>634</v>
      </c>
      <c r="D166" s="65" t="s">
        <v>637</v>
      </c>
      <c r="E166" s="65" t="s">
        <v>639</v>
      </c>
      <c r="F166" s="62" t="s">
        <v>1453</v>
      </c>
      <c r="G166" s="65" t="s">
        <v>1009</v>
      </c>
      <c r="H166" s="65" t="s">
        <v>1268</v>
      </c>
      <c r="I166" s="65" t="s">
        <v>634</v>
      </c>
      <c r="J166" s="65" t="s">
        <v>1269</v>
      </c>
      <c r="K166" s="65" t="s">
        <v>1270</v>
      </c>
      <c r="L166" s="65" t="s">
        <v>868</v>
      </c>
      <c r="M166" s="66" t="s">
        <v>868</v>
      </c>
    </row>
    <row r="167" spans="1:13" x14ac:dyDescent="0.5">
      <c r="A167" s="61" t="s">
        <v>18</v>
      </c>
      <c r="B167" s="62" t="s">
        <v>667</v>
      </c>
      <c r="C167" s="62" t="s">
        <v>661</v>
      </c>
      <c r="D167" s="62" t="s">
        <v>664</v>
      </c>
      <c r="E167" s="62" t="s">
        <v>666</v>
      </c>
      <c r="F167" s="62" t="s">
        <v>1453</v>
      </c>
      <c r="G167" s="62" t="s">
        <v>1009</v>
      </c>
      <c r="H167" s="62" t="s">
        <v>1281</v>
      </c>
      <c r="I167" s="62" t="s">
        <v>661</v>
      </c>
      <c r="J167" s="62" t="s">
        <v>1282</v>
      </c>
      <c r="K167" s="62" t="s">
        <v>1283</v>
      </c>
      <c r="L167" s="62" t="s">
        <v>868</v>
      </c>
      <c r="M167" s="63" t="s">
        <v>868</v>
      </c>
    </row>
    <row r="168" spans="1:13" x14ac:dyDescent="0.5">
      <c r="A168" s="64" t="s">
        <v>25</v>
      </c>
      <c r="B168" s="65" t="s">
        <v>730</v>
      </c>
      <c r="C168" s="65" t="s">
        <v>731</v>
      </c>
      <c r="D168" s="65" t="s">
        <v>734</v>
      </c>
      <c r="E168" s="65" t="s">
        <v>736</v>
      </c>
      <c r="F168" s="62" t="s">
        <v>1453</v>
      </c>
      <c r="G168" s="65" t="s">
        <v>1009</v>
      </c>
      <c r="H168" s="65" t="s">
        <v>1299</v>
      </c>
      <c r="I168" s="65" t="s">
        <v>731</v>
      </c>
      <c r="J168" s="65" t="s">
        <v>1300</v>
      </c>
      <c r="K168" s="65" t="s">
        <v>1301</v>
      </c>
      <c r="L168" s="65" t="s">
        <v>868</v>
      </c>
      <c r="M168" s="66" t="s">
        <v>868</v>
      </c>
    </row>
    <row r="169" spans="1:13" x14ac:dyDescent="0.5">
      <c r="A169" s="61" t="s">
        <v>18</v>
      </c>
      <c r="B169" s="62" t="s">
        <v>775</v>
      </c>
      <c r="C169" s="62" t="s">
        <v>776</v>
      </c>
      <c r="D169" s="62" t="s">
        <v>785</v>
      </c>
      <c r="E169" s="62" t="s">
        <v>787</v>
      </c>
      <c r="F169" s="62" t="s">
        <v>1453</v>
      </c>
      <c r="G169" s="62" t="s">
        <v>1009</v>
      </c>
      <c r="H169" s="62" t="s">
        <v>801</v>
      </c>
      <c r="I169" s="62" t="s">
        <v>776</v>
      </c>
      <c r="J169" s="62" t="s">
        <v>1316</v>
      </c>
      <c r="K169" s="62" t="s">
        <v>778</v>
      </c>
      <c r="L169" s="62" t="s">
        <v>1487</v>
      </c>
      <c r="M169" s="63" t="s">
        <v>1422</v>
      </c>
    </row>
    <row r="170" spans="1:13" x14ac:dyDescent="0.5">
      <c r="A170" s="64" t="s">
        <v>25</v>
      </c>
      <c r="B170" s="65" t="s">
        <v>845</v>
      </c>
      <c r="C170" s="65" t="s">
        <v>839</v>
      </c>
      <c r="D170" s="65" t="s">
        <v>846</v>
      </c>
      <c r="E170" s="65" t="s">
        <v>848</v>
      </c>
      <c r="F170" s="62" t="s">
        <v>1453</v>
      </c>
      <c r="G170" s="65" t="s">
        <v>1009</v>
      </c>
      <c r="H170" s="65" t="s">
        <v>1340</v>
      </c>
      <c r="I170" s="65" t="s">
        <v>1343</v>
      </c>
      <c r="J170" s="65" t="s">
        <v>1342</v>
      </c>
      <c r="K170" s="65" t="s">
        <v>841</v>
      </c>
      <c r="L170" s="62" t="s">
        <v>1487</v>
      </c>
      <c r="M170" s="66" t="s">
        <v>1422</v>
      </c>
    </row>
    <row r="173" spans="1:13" x14ac:dyDescent="0.5">
      <c r="A173" s="5" t="s">
        <v>0</v>
      </c>
      <c r="B173" s="5"/>
      <c r="C173" s="5"/>
      <c r="D173" s="5"/>
      <c r="E173" s="5"/>
      <c r="F173" s="5"/>
      <c r="I173" s="7" t="s">
        <v>1</v>
      </c>
      <c r="J173" s="6">
        <f>COUNTIF(A178:A191,"Herr")</f>
        <v>2</v>
      </c>
    </row>
    <row r="174" spans="1:13" x14ac:dyDescent="0.5">
      <c r="A174" s="5" t="s">
        <v>3</v>
      </c>
      <c r="B174" s="5"/>
      <c r="C174" s="5"/>
      <c r="D174" s="5"/>
      <c r="E174" s="5"/>
      <c r="F174" s="5"/>
      <c r="I174" s="7" t="s">
        <v>4</v>
      </c>
      <c r="J174" s="6">
        <f>COUNTIF(A178:A191,"Frau")</f>
        <v>12</v>
      </c>
    </row>
    <row r="175" spans="1:13" x14ac:dyDescent="0.5">
      <c r="A175" s="5" t="s">
        <v>6</v>
      </c>
      <c r="B175" s="5"/>
      <c r="C175" s="5"/>
      <c r="D175" s="5"/>
      <c r="E175" s="5"/>
      <c r="F175" s="5"/>
      <c r="I175" s="7"/>
    </row>
    <row r="176" spans="1:13" x14ac:dyDescent="0.5">
      <c r="E176" s="9"/>
      <c r="I176" s="10" t="s">
        <v>9</v>
      </c>
      <c r="J176" s="5">
        <f>SUM(J173:J174)</f>
        <v>14</v>
      </c>
    </row>
    <row r="177" spans="1:13" ht="21.5" thickBot="1" x14ac:dyDescent="0.55000000000000004">
      <c r="A177" s="11" t="s">
        <v>10</v>
      </c>
      <c r="B177" s="12" t="s">
        <v>11</v>
      </c>
      <c r="C177" s="12" t="s">
        <v>12</v>
      </c>
      <c r="D177" s="12" t="s">
        <v>15</v>
      </c>
      <c r="E177" s="12" t="s">
        <v>16</v>
      </c>
      <c r="F177" s="12" t="s">
        <v>1446</v>
      </c>
      <c r="G177" s="12" t="s">
        <v>973</v>
      </c>
      <c r="H177" s="12" t="s">
        <v>1447</v>
      </c>
      <c r="I177" s="12" t="s">
        <v>1448</v>
      </c>
      <c r="J177" s="12" t="s">
        <v>1449</v>
      </c>
      <c r="K177" s="12" t="s">
        <v>1450</v>
      </c>
      <c r="L177" s="12" t="s">
        <v>984</v>
      </c>
      <c r="M177" s="13" t="s">
        <v>987</v>
      </c>
    </row>
    <row r="178" spans="1:13" ht="21.5" thickTop="1" x14ac:dyDescent="0.5">
      <c r="A178" s="67" t="s">
        <v>25</v>
      </c>
      <c r="B178" s="68" t="s">
        <v>94</v>
      </c>
      <c r="C178" s="68" t="s">
        <v>95</v>
      </c>
      <c r="D178" s="68" t="s">
        <v>98</v>
      </c>
      <c r="E178" s="68" t="s">
        <v>100</v>
      </c>
      <c r="F178" s="68" t="s">
        <v>1454</v>
      </c>
      <c r="G178" s="68" t="s">
        <v>1009</v>
      </c>
      <c r="H178" s="68" t="s">
        <v>1026</v>
      </c>
      <c r="I178" s="68" t="s">
        <v>95</v>
      </c>
      <c r="J178" s="68" t="s">
        <v>1044</v>
      </c>
      <c r="K178" s="68" t="s">
        <v>97</v>
      </c>
      <c r="L178" s="68"/>
      <c r="M178" s="69"/>
    </row>
    <row r="179" spans="1:13" x14ac:dyDescent="0.5">
      <c r="A179" s="67" t="s">
        <v>18</v>
      </c>
      <c r="B179" s="68" t="s">
        <v>144</v>
      </c>
      <c r="C179" s="68" t="s">
        <v>145</v>
      </c>
      <c r="D179" s="68" t="s">
        <v>148</v>
      </c>
      <c r="E179" s="68" t="s">
        <v>150</v>
      </c>
      <c r="F179" s="68" t="s">
        <v>1454</v>
      </c>
      <c r="G179" s="68" t="s">
        <v>1009</v>
      </c>
      <c r="H179" s="68" t="s">
        <v>957</v>
      </c>
      <c r="I179" s="68" t="s">
        <v>1071</v>
      </c>
      <c r="J179" s="68" t="s">
        <v>1072</v>
      </c>
      <c r="K179" s="68" t="s">
        <v>147</v>
      </c>
      <c r="L179" s="68" t="s">
        <v>868</v>
      </c>
      <c r="M179" s="69" t="s">
        <v>868</v>
      </c>
    </row>
    <row r="180" spans="1:13" x14ac:dyDescent="0.5">
      <c r="A180" s="70" t="s">
        <v>18</v>
      </c>
      <c r="B180" s="71" t="s">
        <v>151</v>
      </c>
      <c r="C180" s="71" t="s">
        <v>145</v>
      </c>
      <c r="D180" s="71" t="s">
        <v>152</v>
      </c>
      <c r="E180" s="71" t="s">
        <v>154</v>
      </c>
      <c r="F180" s="68" t="s">
        <v>1454</v>
      </c>
      <c r="G180" s="71" t="s">
        <v>1009</v>
      </c>
      <c r="H180" s="71" t="s">
        <v>957</v>
      </c>
      <c r="I180" s="71" t="s">
        <v>145</v>
      </c>
      <c r="J180" s="71" t="s">
        <v>1072</v>
      </c>
      <c r="K180" s="71" t="s">
        <v>147</v>
      </c>
      <c r="L180" s="71"/>
      <c r="M180" s="72"/>
    </row>
    <row r="181" spans="1:13" x14ac:dyDescent="0.5">
      <c r="A181" s="70" t="s">
        <v>25</v>
      </c>
      <c r="B181" s="71" t="s">
        <v>256</v>
      </c>
      <c r="C181" s="71" t="s">
        <v>257</v>
      </c>
      <c r="D181" s="71" t="s">
        <v>260</v>
      </c>
      <c r="E181" s="71" t="s">
        <v>262</v>
      </c>
      <c r="F181" s="68" t="s">
        <v>1454</v>
      </c>
      <c r="G181" s="71" t="s">
        <v>1009</v>
      </c>
      <c r="H181" s="71" t="s">
        <v>1123</v>
      </c>
      <c r="I181" s="71" t="s">
        <v>257</v>
      </c>
      <c r="J181" s="71" t="s">
        <v>1124</v>
      </c>
      <c r="K181" s="71" t="s">
        <v>259</v>
      </c>
      <c r="L181" s="71" t="s">
        <v>868</v>
      </c>
      <c r="M181" s="72"/>
    </row>
    <row r="182" spans="1:13" x14ac:dyDescent="0.5">
      <c r="A182" s="70" t="s">
        <v>18</v>
      </c>
      <c r="B182" s="71" t="s">
        <v>331</v>
      </c>
      <c r="C182" s="71" t="s">
        <v>332</v>
      </c>
      <c r="D182" s="71" t="s">
        <v>335</v>
      </c>
      <c r="E182" s="71" t="s">
        <v>337</v>
      </c>
      <c r="F182" s="68" t="s">
        <v>1454</v>
      </c>
      <c r="G182" s="71" t="s">
        <v>1009</v>
      </c>
      <c r="H182" s="71" t="s">
        <v>1489</v>
      </c>
      <c r="I182" s="71" t="s">
        <v>332</v>
      </c>
      <c r="J182" s="71" t="s">
        <v>1149</v>
      </c>
      <c r="K182" s="71" t="s">
        <v>1150</v>
      </c>
      <c r="L182" s="71" t="s">
        <v>868</v>
      </c>
      <c r="M182" s="72"/>
    </row>
    <row r="183" spans="1:13" x14ac:dyDescent="0.5">
      <c r="A183" s="70" t="s">
        <v>18</v>
      </c>
      <c r="B183" s="71" t="s">
        <v>277</v>
      </c>
      <c r="C183" s="71" t="s">
        <v>425</v>
      </c>
      <c r="D183" s="71" t="s">
        <v>428</v>
      </c>
      <c r="E183" s="71" t="s">
        <v>430</v>
      </c>
      <c r="F183" s="68" t="s">
        <v>1454</v>
      </c>
      <c r="G183" s="71" t="s">
        <v>1009</v>
      </c>
      <c r="H183" s="71" t="s">
        <v>1189</v>
      </c>
      <c r="I183" s="71" t="s">
        <v>425</v>
      </c>
      <c r="J183" s="71" t="s">
        <v>1190</v>
      </c>
      <c r="K183" s="71" t="s">
        <v>1191</v>
      </c>
      <c r="L183" s="71" t="s">
        <v>868</v>
      </c>
      <c r="M183" s="72"/>
    </row>
    <row r="184" spans="1:13" x14ac:dyDescent="0.5">
      <c r="A184" s="67" t="s">
        <v>18</v>
      </c>
      <c r="B184" s="68" t="s">
        <v>445</v>
      </c>
      <c r="C184" s="68" t="s">
        <v>446</v>
      </c>
      <c r="D184" s="68" t="s">
        <v>449</v>
      </c>
      <c r="E184" s="68" t="s">
        <v>451</v>
      </c>
      <c r="F184" s="68" t="s">
        <v>1454</v>
      </c>
      <c r="G184" s="22" t="s">
        <v>1485</v>
      </c>
      <c r="H184" s="68" t="s">
        <v>1198</v>
      </c>
      <c r="I184" s="68" t="s">
        <v>1199</v>
      </c>
      <c r="J184" s="68" t="s">
        <v>1200</v>
      </c>
      <c r="K184" s="68" t="s">
        <v>1201</v>
      </c>
      <c r="L184" s="68" t="s">
        <v>868</v>
      </c>
      <c r="M184" s="69"/>
    </row>
    <row r="185" spans="1:13" x14ac:dyDescent="0.5">
      <c r="A185" s="67" t="s">
        <v>18</v>
      </c>
      <c r="B185" s="68" t="s">
        <v>494</v>
      </c>
      <c r="C185" s="68" t="s">
        <v>495</v>
      </c>
      <c r="D185" s="68" t="s">
        <v>498</v>
      </c>
      <c r="E185" s="68" t="s">
        <v>500</v>
      </c>
      <c r="F185" s="68" t="s">
        <v>1454</v>
      </c>
      <c r="G185" s="68" t="s">
        <v>1009</v>
      </c>
      <c r="H185" s="68" t="s">
        <v>1217</v>
      </c>
      <c r="I185" s="68" t="s">
        <v>1218</v>
      </c>
      <c r="J185" s="68" t="s">
        <v>1219</v>
      </c>
      <c r="K185" s="68" t="s">
        <v>497</v>
      </c>
      <c r="L185" s="68" t="s">
        <v>868</v>
      </c>
      <c r="M185" s="69"/>
    </row>
    <row r="186" spans="1:13" x14ac:dyDescent="0.5">
      <c r="A186" s="67" t="s">
        <v>18</v>
      </c>
      <c r="B186" s="68" t="s">
        <v>555</v>
      </c>
      <c r="C186" s="68" t="s">
        <v>556</v>
      </c>
      <c r="D186" s="68" t="s">
        <v>559</v>
      </c>
      <c r="E186" s="68" t="s">
        <v>561</v>
      </c>
      <c r="F186" s="68" t="s">
        <v>1454</v>
      </c>
      <c r="G186" s="68" t="s">
        <v>1009</v>
      </c>
      <c r="H186" s="68" t="s">
        <v>1490</v>
      </c>
      <c r="I186" s="68" t="s">
        <v>556</v>
      </c>
      <c r="J186" s="68" t="s">
        <v>1242</v>
      </c>
      <c r="K186" s="68" t="s">
        <v>1243</v>
      </c>
      <c r="L186" s="68"/>
      <c r="M186" s="69"/>
    </row>
    <row r="187" spans="1:13" x14ac:dyDescent="0.5">
      <c r="A187" s="67" t="s">
        <v>18</v>
      </c>
      <c r="B187" s="68" t="s">
        <v>623</v>
      </c>
      <c r="C187" s="68" t="s">
        <v>617</v>
      </c>
      <c r="D187" s="68" t="s">
        <v>620</v>
      </c>
      <c r="E187" s="68" t="s">
        <v>622</v>
      </c>
      <c r="F187" s="68" t="s">
        <v>1454</v>
      </c>
      <c r="G187" s="68" t="s">
        <v>1009</v>
      </c>
      <c r="H187" s="68" t="s">
        <v>1265</v>
      </c>
      <c r="I187" s="68" t="s">
        <v>1263</v>
      </c>
      <c r="J187" s="68" t="s">
        <v>622</v>
      </c>
      <c r="K187" s="68" t="s">
        <v>1264</v>
      </c>
      <c r="L187" s="68" t="s">
        <v>868</v>
      </c>
      <c r="M187" s="69"/>
    </row>
    <row r="188" spans="1:13" x14ac:dyDescent="0.5">
      <c r="A188" s="67" t="s">
        <v>18</v>
      </c>
      <c r="B188" s="68" t="s">
        <v>489</v>
      </c>
      <c r="C188" s="68" t="s">
        <v>671</v>
      </c>
      <c r="D188" s="68" t="s">
        <v>674</v>
      </c>
      <c r="E188" s="68" t="s">
        <v>676</v>
      </c>
      <c r="F188" s="68" t="s">
        <v>1454</v>
      </c>
      <c r="G188" s="68" t="s">
        <v>1009</v>
      </c>
      <c r="H188" s="68" t="s">
        <v>1284</v>
      </c>
      <c r="I188" s="68" t="s">
        <v>671</v>
      </c>
      <c r="J188" s="68" t="s">
        <v>676</v>
      </c>
      <c r="K188" s="68" t="s">
        <v>673</v>
      </c>
      <c r="L188" s="68" t="s">
        <v>868</v>
      </c>
      <c r="M188" s="69"/>
    </row>
    <row r="189" spans="1:13" ht="42" x14ac:dyDescent="0.5">
      <c r="A189" s="67" t="s">
        <v>18</v>
      </c>
      <c r="B189" s="68" t="s">
        <v>794</v>
      </c>
      <c r="C189" s="68" t="s">
        <v>795</v>
      </c>
      <c r="D189" s="68" t="s">
        <v>798</v>
      </c>
      <c r="E189" s="68" t="s">
        <v>800</v>
      </c>
      <c r="F189" s="68" t="s">
        <v>1454</v>
      </c>
      <c r="G189" s="68" t="s">
        <v>1009</v>
      </c>
      <c r="H189" s="68" t="s">
        <v>1324</v>
      </c>
      <c r="I189" s="68" t="s">
        <v>795</v>
      </c>
      <c r="J189" s="68" t="s">
        <v>1325</v>
      </c>
      <c r="K189" s="68" t="s">
        <v>1326</v>
      </c>
      <c r="L189" s="68" t="s">
        <v>868</v>
      </c>
      <c r="M189" s="69" t="s">
        <v>1436</v>
      </c>
    </row>
    <row r="190" spans="1:13" ht="42" x14ac:dyDescent="0.5">
      <c r="A190" s="70" t="s">
        <v>18</v>
      </c>
      <c r="B190" s="71" t="s">
        <v>801</v>
      </c>
      <c r="C190" s="71" t="s">
        <v>795</v>
      </c>
      <c r="D190" s="71" t="s">
        <v>803</v>
      </c>
      <c r="E190" s="71" t="s">
        <v>805</v>
      </c>
      <c r="F190" s="68" t="s">
        <v>1454</v>
      </c>
      <c r="G190" s="71" t="s">
        <v>1009</v>
      </c>
      <c r="H190" s="71" t="s">
        <v>1324</v>
      </c>
      <c r="I190" s="71" t="s">
        <v>795</v>
      </c>
      <c r="J190" s="71" t="s">
        <v>1325</v>
      </c>
      <c r="K190" s="71" t="s">
        <v>1326</v>
      </c>
      <c r="L190" s="71" t="s">
        <v>1418</v>
      </c>
      <c r="M190" s="72" t="s">
        <v>1435</v>
      </c>
    </row>
    <row r="191" spans="1:13" x14ac:dyDescent="0.5">
      <c r="A191" s="73" t="s">
        <v>18</v>
      </c>
      <c r="B191" s="74" t="s">
        <v>831</v>
      </c>
      <c r="C191" s="74" t="s">
        <v>832</v>
      </c>
      <c r="D191" s="74" t="s">
        <v>835</v>
      </c>
      <c r="E191" s="74" t="s">
        <v>837</v>
      </c>
      <c r="F191" s="68" t="s">
        <v>1454</v>
      </c>
      <c r="G191" s="74" t="s">
        <v>1009</v>
      </c>
      <c r="H191" s="74" t="s">
        <v>1337</v>
      </c>
      <c r="I191" s="74" t="s">
        <v>832</v>
      </c>
      <c r="J191" s="74" t="s">
        <v>1338</v>
      </c>
      <c r="K191" s="74" t="s">
        <v>1339</v>
      </c>
      <c r="L191" s="74" t="s">
        <v>868</v>
      </c>
      <c r="M191" s="75" t="s">
        <v>1348</v>
      </c>
    </row>
    <row r="196" spans="9:10" x14ac:dyDescent="0.5">
      <c r="I196" s="6" t="s">
        <v>9</v>
      </c>
      <c r="J196" s="6">
        <f>SUM(J4+J21+J47+J72+J96+J116+J135+J157+J176)</f>
        <v>130</v>
      </c>
    </row>
  </sheetData>
  <pageMargins left="0.25" right="0.25" top="0.75" bottom="0.75" header="0.3" footer="0.3"/>
  <pageSetup paperSize="9" scale="41" fitToHeight="0" orientation="landscape" r:id="rId1"/>
  <rowBreaks count="8" manualBreakCount="8">
    <brk id="17" max="10" man="1"/>
    <brk id="43" max="10" man="1"/>
    <brk id="68" max="10" man="1"/>
    <brk id="92" max="10" man="1"/>
    <brk id="112" max="10" man="1"/>
    <brk id="131" max="10" man="1"/>
    <brk id="153" max="10" man="1"/>
    <brk id="172" max="10" man="1"/>
  </rowBreaks>
  <colBreaks count="2" manualBreakCount="2">
    <brk id="6" max="191" man="1"/>
    <brk id="7" max="191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4DB01-61AC-4A26-9D56-6F441254AE9F}">
  <sheetPr>
    <pageSetUpPr fitToPage="1"/>
  </sheetPr>
  <dimension ref="A1:G140"/>
  <sheetViews>
    <sheetView zoomScaleNormal="100" workbookViewId="0">
      <selection activeCell="G53" sqref="G53"/>
    </sheetView>
  </sheetViews>
  <sheetFormatPr baseColWidth="10" defaultRowHeight="18.5" x14ac:dyDescent="0.45"/>
  <cols>
    <col min="1" max="1" width="9.7265625" style="81" bestFit="1" customWidth="1"/>
    <col min="2" max="2" width="20.453125" style="81" bestFit="1" customWidth="1"/>
    <col min="3" max="3" width="17.81640625" style="81" bestFit="1" customWidth="1"/>
    <col min="4" max="4" width="17.81640625" style="138" bestFit="1" customWidth="1"/>
    <col min="5" max="5" width="10.81640625" style="81" customWidth="1"/>
    <col min="6" max="6" width="13.54296875" style="81" customWidth="1"/>
    <col min="7" max="7" width="73.7265625" style="81" bestFit="1" customWidth="1"/>
  </cols>
  <sheetData>
    <row r="1" spans="1:7" x14ac:dyDescent="0.45">
      <c r="A1" s="149" t="s">
        <v>0</v>
      </c>
      <c r="B1" s="150"/>
      <c r="C1" s="150"/>
      <c r="D1" s="150"/>
      <c r="E1" s="150"/>
      <c r="F1" s="150"/>
    </row>
    <row r="2" spans="1:7" x14ac:dyDescent="0.45">
      <c r="A2" s="149" t="s">
        <v>3</v>
      </c>
      <c r="B2" s="150"/>
      <c r="C2" s="150"/>
      <c r="D2" s="150"/>
      <c r="E2" s="150"/>
      <c r="F2" s="150"/>
    </row>
    <row r="3" spans="1:7" x14ac:dyDescent="0.45">
      <c r="A3" s="149" t="s">
        <v>1539</v>
      </c>
      <c r="B3" s="150"/>
      <c r="C3" s="150"/>
      <c r="D3" s="150"/>
      <c r="E3" s="150"/>
      <c r="F3" s="150"/>
    </row>
    <row r="4" spans="1:7" x14ac:dyDescent="0.45">
      <c r="A4" s="80"/>
      <c r="D4" s="81"/>
    </row>
    <row r="5" spans="1:7" ht="19" thickBot="1" x14ac:dyDescent="0.5">
      <c r="A5" s="82" t="s">
        <v>10</v>
      </c>
      <c r="B5" s="83" t="s">
        <v>11</v>
      </c>
      <c r="C5" s="83" t="s">
        <v>12</v>
      </c>
      <c r="D5" s="84" t="s">
        <v>15</v>
      </c>
      <c r="E5" s="84" t="s">
        <v>1496</v>
      </c>
      <c r="F5" s="84" t="s">
        <v>1497</v>
      </c>
      <c r="G5" s="85" t="s">
        <v>17</v>
      </c>
    </row>
    <row r="6" spans="1:7" ht="19" thickTop="1" x14ac:dyDescent="0.45">
      <c r="A6" s="86" t="s">
        <v>18</v>
      </c>
      <c r="B6" s="87" t="s">
        <v>568</v>
      </c>
      <c r="C6" s="87" t="s">
        <v>569</v>
      </c>
      <c r="D6" s="88" t="s">
        <v>572</v>
      </c>
      <c r="E6" s="89">
        <v>19</v>
      </c>
      <c r="F6" s="89" t="s">
        <v>1492</v>
      </c>
      <c r="G6" s="90"/>
    </row>
    <row r="7" spans="1:7" x14ac:dyDescent="0.45">
      <c r="A7" s="86" t="s">
        <v>18</v>
      </c>
      <c r="B7" s="87" t="s">
        <v>40</v>
      </c>
      <c r="C7" s="87" t="s">
        <v>41</v>
      </c>
      <c r="D7" s="88" t="s">
        <v>44</v>
      </c>
      <c r="E7" s="89">
        <v>18</v>
      </c>
      <c r="F7" s="89" t="s">
        <v>1492</v>
      </c>
      <c r="G7" s="90"/>
    </row>
    <row r="8" spans="1:7" x14ac:dyDescent="0.45">
      <c r="A8" s="86" t="s">
        <v>18</v>
      </c>
      <c r="B8" s="87" t="s">
        <v>144</v>
      </c>
      <c r="C8" s="87" t="s">
        <v>145</v>
      </c>
      <c r="D8" s="88" t="s">
        <v>148</v>
      </c>
      <c r="E8" s="89">
        <v>18</v>
      </c>
      <c r="F8" s="89" t="s">
        <v>1492</v>
      </c>
      <c r="G8" s="90"/>
    </row>
    <row r="9" spans="1:7" x14ac:dyDescent="0.45">
      <c r="A9" s="86" t="s">
        <v>18</v>
      </c>
      <c r="B9" s="87" t="s">
        <v>238</v>
      </c>
      <c r="C9" s="87" t="s">
        <v>232</v>
      </c>
      <c r="D9" s="88" t="s">
        <v>239</v>
      </c>
      <c r="E9" s="89">
        <v>18</v>
      </c>
      <c r="F9" s="89" t="s">
        <v>1492</v>
      </c>
      <c r="G9" s="90"/>
    </row>
    <row r="10" spans="1:7" x14ac:dyDescent="0.45">
      <c r="A10" s="91" t="s">
        <v>18</v>
      </c>
      <c r="B10" s="92" t="s">
        <v>633</v>
      </c>
      <c r="C10" s="92" t="s">
        <v>634</v>
      </c>
      <c r="D10" s="93" t="s">
        <v>637</v>
      </c>
      <c r="E10" s="94">
        <v>17</v>
      </c>
      <c r="F10" s="94">
        <v>35</v>
      </c>
      <c r="G10" s="95"/>
    </row>
    <row r="11" spans="1:7" x14ac:dyDescent="0.45">
      <c r="A11" s="91" t="s">
        <v>18</v>
      </c>
      <c r="B11" s="92" t="s">
        <v>284</v>
      </c>
      <c r="C11" s="92" t="s">
        <v>278</v>
      </c>
      <c r="D11" s="93" t="s">
        <v>287</v>
      </c>
      <c r="E11" s="94">
        <v>17</v>
      </c>
      <c r="F11" s="94">
        <v>35</v>
      </c>
      <c r="G11" s="95"/>
    </row>
    <row r="12" spans="1:7" x14ac:dyDescent="0.45">
      <c r="A12" s="91" t="s">
        <v>18</v>
      </c>
      <c r="B12" s="92" t="s">
        <v>445</v>
      </c>
      <c r="C12" s="92" t="s">
        <v>446</v>
      </c>
      <c r="D12" s="93" t="s">
        <v>449</v>
      </c>
      <c r="E12" s="94">
        <v>17</v>
      </c>
      <c r="F12" s="94">
        <v>35</v>
      </c>
      <c r="G12" s="95"/>
    </row>
    <row r="13" spans="1:7" x14ac:dyDescent="0.45">
      <c r="A13" s="91" t="s">
        <v>18</v>
      </c>
      <c r="B13" s="92" t="s">
        <v>801</v>
      </c>
      <c r="C13" s="92" t="s">
        <v>795</v>
      </c>
      <c r="D13" s="93" t="s">
        <v>803</v>
      </c>
      <c r="E13" s="94">
        <v>17</v>
      </c>
      <c r="F13" s="94">
        <v>35</v>
      </c>
      <c r="G13" s="95"/>
    </row>
    <row r="14" spans="1:7" x14ac:dyDescent="0.45">
      <c r="A14" s="91" t="s">
        <v>18</v>
      </c>
      <c r="B14" s="92" t="s">
        <v>115</v>
      </c>
      <c r="C14" s="92" t="s">
        <v>116</v>
      </c>
      <c r="D14" s="93" t="s">
        <v>119</v>
      </c>
      <c r="E14" s="94">
        <v>17</v>
      </c>
      <c r="F14" s="94">
        <v>35</v>
      </c>
      <c r="G14" s="95"/>
    </row>
    <row r="15" spans="1:7" x14ac:dyDescent="0.45">
      <c r="A15" s="91" t="s">
        <v>18</v>
      </c>
      <c r="B15" s="92" t="s">
        <v>188</v>
      </c>
      <c r="C15" s="92" t="s">
        <v>189</v>
      </c>
      <c r="D15" s="93" t="s">
        <v>192</v>
      </c>
      <c r="E15" s="94">
        <v>17</v>
      </c>
      <c r="F15" s="94">
        <v>35</v>
      </c>
      <c r="G15" s="95"/>
    </row>
    <row r="16" spans="1:7" x14ac:dyDescent="0.45">
      <c r="A16" s="91" t="s">
        <v>18</v>
      </c>
      <c r="B16" s="92" t="s">
        <v>751</v>
      </c>
      <c r="C16" s="92" t="s">
        <v>752</v>
      </c>
      <c r="D16" s="93" t="s">
        <v>755</v>
      </c>
      <c r="E16" s="94">
        <v>17</v>
      </c>
      <c r="F16" s="94">
        <v>35</v>
      </c>
      <c r="G16" s="95"/>
    </row>
    <row r="17" spans="1:7" x14ac:dyDescent="0.45">
      <c r="A17" s="91" t="s">
        <v>18</v>
      </c>
      <c r="B17" s="92" t="s">
        <v>174</v>
      </c>
      <c r="C17" s="92" t="s">
        <v>175</v>
      </c>
      <c r="D17" s="93" t="s">
        <v>178</v>
      </c>
      <c r="E17" s="94">
        <v>17</v>
      </c>
      <c r="F17" s="94">
        <v>35</v>
      </c>
      <c r="G17" s="95" t="s">
        <v>1543</v>
      </c>
    </row>
    <row r="18" spans="1:7" x14ac:dyDescent="0.45">
      <c r="A18" s="91" t="s">
        <v>18</v>
      </c>
      <c r="B18" s="92" t="s">
        <v>849</v>
      </c>
      <c r="C18" s="92" t="s">
        <v>839</v>
      </c>
      <c r="D18" s="93" t="s">
        <v>850</v>
      </c>
      <c r="E18" s="94">
        <v>17</v>
      </c>
      <c r="F18" s="94">
        <v>35</v>
      </c>
      <c r="G18" s="95"/>
    </row>
    <row r="19" spans="1:7" x14ac:dyDescent="0.45">
      <c r="A19" s="91" t="s">
        <v>18</v>
      </c>
      <c r="B19" s="92" t="s">
        <v>391</v>
      </c>
      <c r="C19" s="92" t="s">
        <v>392</v>
      </c>
      <c r="D19" s="93" t="s">
        <v>395</v>
      </c>
      <c r="E19" s="94">
        <v>16</v>
      </c>
      <c r="F19" s="94">
        <v>35</v>
      </c>
      <c r="G19" s="95"/>
    </row>
    <row r="20" spans="1:7" x14ac:dyDescent="0.45">
      <c r="A20" s="91" t="s">
        <v>18</v>
      </c>
      <c r="B20" s="92" t="s">
        <v>378</v>
      </c>
      <c r="C20" s="92" t="s">
        <v>372</v>
      </c>
      <c r="D20" s="93" t="s">
        <v>381</v>
      </c>
      <c r="E20" s="94">
        <v>16</v>
      </c>
      <c r="F20" s="94">
        <v>35</v>
      </c>
      <c r="G20" s="95" t="s">
        <v>1544</v>
      </c>
    </row>
    <row r="21" spans="1:7" x14ac:dyDescent="0.45">
      <c r="A21" s="91" t="s">
        <v>18</v>
      </c>
      <c r="B21" s="92" t="s">
        <v>60</v>
      </c>
      <c r="C21" s="92" t="s">
        <v>61</v>
      </c>
      <c r="D21" s="93" t="s">
        <v>64</v>
      </c>
      <c r="E21" s="94">
        <v>16</v>
      </c>
      <c r="F21" s="94">
        <v>35</v>
      </c>
      <c r="G21" s="95"/>
    </row>
    <row r="22" spans="1:7" x14ac:dyDescent="0.45">
      <c r="A22" s="91" t="s">
        <v>18</v>
      </c>
      <c r="B22" s="92" t="s">
        <v>161</v>
      </c>
      <c r="C22" s="92" t="s">
        <v>162</v>
      </c>
      <c r="D22" s="93" t="s">
        <v>165</v>
      </c>
      <c r="E22" s="94">
        <v>16</v>
      </c>
      <c r="F22" s="94">
        <v>35</v>
      </c>
      <c r="G22" s="95"/>
    </row>
    <row r="23" spans="1:7" x14ac:dyDescent="0.45">
      <c r="A23" s="91" t="s">
        <v>18</v>
      </c>
      <c r="B23" s="92" t="s">
        <v>697</v>
      </c>
      <c r="C23" s="92" t="s">
        <v>698</v>
      </c>
      <c r="D23" s="93" t="s">
        <v>701</v>
      </c>
      <c r="E23" s="94">
        <v>16</v>
      </c>
      <c r="F23" s="94">
        <v>35</v>
      </c>
      <c r="G23" s="95"/>
    </row>
    <row r="24" spans="1:7" x14ac:dyDescent="0.45">
      <c r="A24" s="91" t="s">
        <v>18</v>
      </c>
      <c r="B24" s="92" t="s">
        <v>364</v>
      </c>
      <c r="C24" s="92" t="s">
        <v>365</v>
      </c>
      <c r="D24" s="93" t="s">
        <v>368</v>
      </c>
      <c r="E24" s="94">
        <v>16</v>
      </c>
      <c r="F24" s="94">
        <v>35</v>
      </c>
      <c r="G24" s="95"/>
    </row>
    <row r="25" spans="1:7" x14ac:dyDescent="0.45">
      <c r="A25" s="91" t="s">
        <v>18</v>
      </c>
      <c r="B25" s="92" t="s">
        <v>378</v>
      </c>
      <c r="C25" s="92" t="s">
        <v>661</v>
      </c>
      <c r="D25" s="93" t="s">
        <v>664</v>
      </c>
      <c r="E25" s="94">
        <v>16</v>
      </c>
      <c r="F25" s="94">
        <v>35</v>
      </c>
      <c r="G25" s="95"/>
    </row>
    <row r="26" spans="1:7" x14ac:dyDescent="0.45">
      <c r="A26" s="91" t="s">
        <v>18</v>
      </c>
      <c r="B26" s="92" t="s">
        <v>794</v>
      </c>
      <c r="C26" s="92" t="s">
        <v>795</v>
      </c>
      <c r="D26" s="93" t="s">
        <v>798</v>
      </c>
      <c r="E26" s="94">
        <v>16</v>
      </c>
      <c r="F26" s="94">
        <v>35</v>
      </c>
      <c r="G26" s="95"/>
    </row>
    <row r="27" spans="1:7" x14ac:dyDescent="0.45">
      <c r="A27" s="91" t="s">
        <v>18</v>
      </c>
      <c r="B27" s="92" t="s">
        <v>151</v>
      </c>
      <c r="C27" s="92" t="s">
        <v>145</v>
      </c>
      <c r="D27" s="93" t="s">
        <v>152</v>
      </c>
      <c r="E27" s="94">
        <v>16</v>
      </c>
      <c r="F27" s="94">
        <v>35</v>
      </c>
      <c r="G27" s="95"/>
    </row>
    <row r="28" spans="1:7" x14ac:dyDescent="0.45">
      <c r="A28" s="91" t="s">
        <v>18</v>
      </c>
      <c r="B28" s="92" t="s">
        <v>402</v>
      </c>
      <c r="C28" s="92" t="s">
        <v>403</v>
      </c>
      <c r="D28" s="93" t="s">
        <v>152</v>
      </c>
      <c r="E28" s="94">
        <v>16</v>
      </c>
      <c r="F28" s="94">
        <v>35</v>
      </c>
      <c r="G28" s="95"/>
    </row>
    <row r="29" spans="1:7" x14ac:dyDescent="0.45">
      <c r="A29" s="91" t="s">
        <v>18</v>
      </c>
      <c r="B29" s="92" t="s">
        <v>494</v>
      </c>
      <c r="C29" s="92" t="s">
        <v>495</v>
      </c>
      <c r="D29" s="93" t="s">
        <v>498</v>
      </c>
      <c r="E29" s="94">
        <v>16</v>
      </c>
      <c r="F29" s="94">
        <v>35</v>
      </c>
      <c r="G29" s="95"/>
    </row>
    <row r="30" spans="1:7" x14ac:dyDescent="0.45">
      <c r="A30" s="96" t="s">
        <v>18</v>
      </c>
      <c r="B30" s="97" t="s">
        <v>831</v>
      </c>
      <c r="C30" s="97" t="s">
        <v>832</v>
      </c>
      <c r="D30" s="98" t="s">
        <v>835</v>
      </c>
      <c r="E30" s="99">
        <v>16</v>
      </c>
      <c r="F30" s="99">
        <v>34</v>
      </c>
      <c r="G30" s="100"/>
    </row>
    <row r="31" spans="1:7" x14ac:dyDescent="0.45">
      <c r="A31" s="96" t="s">
        <v>18</v>
      </c>
      <c r="B31" s="97" t="s">
        <v>249</v>
      </c>
      <c r="C31" s="97" t="s">
        <v>250</v>
      </c>
      <c r="D31" s="98" t="s">
        <v>253</v>
      </c>
      <c r="E31" s="99">
        <v>16</v>
      </c>
      <c r="F31" s="99">
        <v>34</v>
      </c>
      <c r="G31" s="100" t="s">
        <v>1542</v>
      </c>
    </row>
    <row r="32" spans="1:7" x14ac:dyDescent="0.45">
      <c r="A32" s="96" t="s">
        <v>18</v>
      </c>
      <c r="B32" s="97" t="s">
        <v>806</v>
      </c>
      <c r="C32" s="97" t="s">
        <v>807</v>
      </c>
      <c r="D32" s="98" t="s">
        <v>810</v>
      </c>
      <c r="E32" s="99">
        <v>16</v>
      </c>
      <c r="F32" s="99">
        <v>34</v>
      </c>
      <c r="G32" s="100"/>
    </row>
    <row r="33" spans="1:7" x14ac:dyDescent="0.45">
      <c r="A33" s="96" t="s">
        <v>18</v>
      </c>
      <c r="B33" s="97" t="s">
        <v>371</v>
      </c>
      <c r="C33" s="97" t="s">
        <v>372</v>
      </c>
      <c r="D33" s="98" t="s">
        <v>375</v>
      </c>
      <c r="E33" s="99">
        <v>16</v>
      </c>
      <c r="F33" s="99">
        <v>34</v>
      </c>
      <c r="G33" s="100"/>
    </row>
    <row r="34" spans="1:7" x14ac:dyDescent="0.45">
      <c r="A34" s="96" t="s">
        <v>18</v>
      </c>
      <c r="B34" s="97" t="s">
        <v>1472</v>
      </c>
      <c r="C34" s="97" t="s">
        <v>155</v>
      </c>
      <c r="D34" s="98" t="s">
        <v>158</v>
      </c>
      <c r="E34" s="99">
        <v>15</v>
      </c>
      <c r="F34" s="99">
        <v>34</v>
      </c>
      <c r="G34" s="100"/>
    </row>
    <row r="35" spans="1:7" x14ac:dyDescent="0.45">
      <c r="A35" s="96" t="s">
        <v>18</v>
      </c>
      <c r="B35" s="97" t="s">
        <v>345</v>
      </c>
      <c r="C35" s="97" t="s">
        <v>346</v>
      </c>
      <c r="D35" s="98" t="s">
        <v>349</v>
      </c>
      <c r="E35" s="99">
        <v>15</v>
      </c>
      <c r="F35" s="99">
        <v>34</v>
      </c>
      <c r="G35" s="100"/>
    </row>
    <row r="36" spans="1:7" x14ac:dyDescent="0.45">
      <c r="A36" s="96" t="s">
        <v>18</v>
      </c>
      <c r="B36" s="97" t="s">
        <v>648</v>
      </c>
      <c r="C36" s="97" t="s">
        <v>647</v>
      </c>
      <c r="D36" s="98" t="s">
        <v>651</v>
      </c>
      <c r="E36" s="99">
        <v>15</v>
      </c>
      <c r="F36" s="99">
        <v>34</v>
      </c>
      <c r="G36" s="100"/>
    </row>
    <row r="37" spans="1:7" x14ac:dyDescent="0.45">
      <c r="A37" s="96" t="s">
        <v>18</v>
      </c>
      <c r="B37" s="97" t="s">
        <v>788</v>
      </c>
      <c r="C37" s="97" t="s">
        <v>1321</v>
      </c>
      <c r="D37" s="98" t="s">
        <v>791</v>
      </c>
      <c r="E37" s="99">
        <v>15</v>
      </c>
      <c r="F37" s="99">
        <v>34</v>
      </c>
      <c r="G37" s="100"/>
    </row>
    <row r="38" spans="1:7" x14ac:dyDescent="0.45">
      <c r="A38" s="96" t="s">
        <v>18</v>
      </c>
      <c r="B38" s="97" t="s">
        <v>595</v>
      </c>
      <c r="C38" s="97" t="s">
        <v>596</v>
      </c>
      <c r="D38" s="98" t="s">
        <v>599</v>
      </c>
      <c r="E38" s="99">
        <v>15</v>
      </c>
      <c r="F38" s="99">
        <v>34</v>
      </c>
      <c r="G38" s="100"/>
    </row>
    <row r="39" spans="1:7" x14ac:dyDescent="0.45">
      <c r="A39" s="96" t="s">
        <v>18</v>
      </c>
      <c r="B39" s="97" t="s">
        <v>555</v>
      </c>
      <c r="C39" s="97" t="s">
        <v>556</v>
      </c>
      <c r="D39" s="98" t="s">
        <v>559</v>
      </c>
      <c r="E39" s="99">
        <v>15</v>
      </c>
      <c r="F39" s="99">
        <v>34</v>
      </c>
      <c r="G39" s="100"/>
    </row>
    <row r="40" spans="1:7" x14ac:dyDescent="0.45">
      <c r="A40" s="96" t="s">
        <v>18</v>
      </c>
      <c r="B40" s="97" t="s">
        <v>534</v>
      </c>
      <c r="C40" s="97" t="s">
        <v>535</v>
      </c>
      <c r="D40" s="98" t="s">
        <v>538</v>
      </c>
      <c r="E40" s="99">
        <v>15</v>
      </c>
      <c r="F40" s="99">
        <v>34</v>
      </c>
      <c r="G40" s="100"/>
    </row>
    <row r="41" spans="1:7" x14ac:dyDescent="0.45">
      <c r="A41" s="96" t="s">
        <v>18</v>
      </c>
      <c r="B41" s="97" t="s">
        <v>357</v>
      </c>
      <c r="C41" s="97" t="s">
        <v>358</v>
      </c>
      <c r="D41" s="98" t="s">
        <v>361</v>
      </c>
      <c r="E41" s="99">
        <v>15</v>
      </c>
      <c r="F41" s="99">
        <v>34</v>
      </c>
      <c r="G41" s="100"/>
    </row>
    <row r="42" spans="1:7" x14ac:dyDescent="0.45">
      <c r="A42" s="96" t="s">
        <v>18</v>
      </c>
      <c r="B42" s="97" t="s">
        <v>482</v>
      </c>
      <c r="C42" s="97" t="s">
        <v>483</v>
      </c>
      <c r="D42" s="98" t="s">
        <v>486</v>
      </c>
      <c r="E42" s="99">
        <v>15</v>
      </c>
      <c r="F42" s="99">
        <v>34</v>
      </c>
      <c r="G42" s="100"/>
    </row>
    <row r="43" spans="1:7" x14ac:dyDescent="0.45">
      <c r="A43" s="96" t="s">
        <v>18</v>
      </c>
      <c r="B43" s="97" t="s">
        <v>277</v>
      </c>
      <c r="C43" s="97" t="s">
        <v>278</v>
      </c>
      <c r="D43" s="98" t="s">
        <v>281</v>
      </c>
      <c r="E43" s="99">
        <v>15</v>
      </c>
      <c r="F43" s="99">
        <v>34</v>
      </c>
      <c r="G43" s="100"/>
    </row>
    <row r="44" spans="1:7" x14ac:dyDescent="0.45">
      <c r="A44" s="96" t="s">
        <v>18</v>
      </c>
      <c r="B44" s="97" t="s">
        <v>277</v>
      </c>
      <c r="C44" s="97" t="s">
        <v>425</v>
      </c>
      <c r="D44" s="98" t="s">
        <v>428</v>
      </c>
      <c r="E44" s="99">
        <v>15</v>
      </c>
      <c r="F44" s="99">
        <v>34</v>
      </c>
      <c r="G44" s="100" t="s">
        <v>1425</v>
      </c>
    </row>
    <row r="45" spans="1:7" x14ac:dyDescent="0.45">
      <c r="A45" s="96" t="s">
        <v>18</v>
      </c>
      <c r="B45" s="97" t="s">
        <v>623</v>
      </c>
      <c r="C45" s="97" t="s">
        <v>617</v>
      </c>
      <c r="D45" s="98" t="s">
        <v>624</v>
      </c>
      <c r="E45" s="99">
        <v>15</v>
      </c>
      <c r="F45" s="99">
        <v>34</v>
      </c>
      <c r="G45" s="100"/>
    </row>
    <row r="46" spans="1:7" x14ac:dyDescent="0.45">
      <c r="A46" s="96" t="s">
        <v>18</v>
      </c>
      <c r="B46" s="97" t="s">
        <v>690</v>
      </c>
      <c r="C46" s="97" t="s">
        <v>691</v>
      </c>
      <c r="D46" s="98" t="s">
        <v>694</v>
      </c>
      <c r="E46" s="99">
        <v>15</v>
      </c>
      <c r="F46" s="99">
        <v>34</v>
      </c>
      <c r="G46" s="100"/>
    </row>
    <row r="47" spans="1:7" x14ac:dyDescent="0.45">
      <c r="A47" s="96" t="s">
        <v>18</v>
      </c>
      <c r="B47" s="97" t="s">
        <v>595</v>
      </c>
      <c r="C47" s="97" t="s">
        <v>853</v>
      </c>
      <c r="D47" s="98" t="s">
        <v>856</v>
      </c>
      <c r="E47" s="99">
        <v>15</v>
      </c>
      <c r="F47" s="99">
        <v>34</v>
      </c>
      <c r="G47" s="100"/>
    </row>
    <row r="48" spans="1:7" x14ac:dyDescent="0.45">
      <c r="A48" s="96" t="s">
        <v>18</v>
      </c>
      <c r="B48" s="97" t="s">
        <v>489</v>
      </c>
      <c r="C48" s="97" t="s">
        <v>671</v>
      </c>
      <c r="D48" s="98" t="s">
        <v>674</v>
      </c>
      <c r="E48" s="99">
        <v>14</v>
      </c>
      <c r="F48" s="99">
        <v>34</v>
      </c>
      <c r="G48" s="100" t="s">
        <v>1420</v>
      </c>
    </row>
    <row r="49" spans="1:7" x14ac:dyDescent="0.45">
      <c r="A49" s="96" t="s">
        <v>18</v>
      </c>
      <c r="B49" s="97" t="s">
        <v>331</v>
      </c>
      <c r="C49" s="97" t="s">
        <v>332</v>
      </c>
      <c r="D49" s="98" t="s">
        <v>335</v>
      </c>
      <c r="E49" s="99">
        <v>14</v>
      </c>
      <c r="F49" s="99">
        <v>34</v>
      </c>
      <c r="G49" s="100" t="s">
        <v>1550</v>
      </c>
    </row>
    <row r="50" spans="1:7" x14ac:dyDescent="0.45">
      <c r="A50" s="101" t="s">
        <v>18</v>
      </c>
      <c r="B50" s="102" t="s">
        <v>1462</v>
      </c>
      <c r="C50" s="102" t="s">
        <v>48</v>
      </c>
      <c r="D50" s="103" t="s">
        <v>51</v>
      </c>
      <c r="E50" s="104">
        <v>15</v>
      </c>
      <c r="F50" s="104">
        <v>33</v>
      </c>
      <c r="G50" s="105"/>
    </row>
    <row r="51" spans="1:7" x14ac:dyDescent="0.45">
      <c r="A51" s="101" t="s">
        <v>18</v>
      </c>
      <c r="B51" s="102" t="s">
        <v>1469</v>
      </c>
      <c r="C51" s="102" t="s">
        <v>76</v>
      </c>
      <c r="D51" s="103" t="s">
        <v>79</v>
      </c>
      <c r="E51" s="104">
        <v>14</v>
      </c>
      <c r="F51" s="104">
        <v>33</v>
      </c>
      <c r="G51" s="105"/>
    </row>
    <row r="52" spans="1:7" x14ac:dyDescent="0.45">
      <c r="A52" s="101" t="s">
        <v>18</v>
      </c>
      <c r="B52" s="102" t="s">
        <v>667</v>
      </c>
      <c r="C52" s="102" t="s">
        <v>661</v>
      </c>
      <c r="D52" s="103" t="s">
        <v>79</v>
      </c>
      <c r="E52" s="104">
        <v>14</v>
      </c>
      <c r="F52" s="104">
        <v>33</v>
      </c>
      <c r="G52" s="105"/>
    </row>
    <row r="53" spans="1:7" x14ac:dyDescent="0.45">
      <c r="A53" s="101" t="s">
        <v>18</v>
      </c>
      <c r="B53" s="102" t="s">
        <v>33</v>
      </c>
      <c r="C53" s="102" t="s">
        <v>34</v>
      </c>
      <c r="D53" s="103" t="s">
        <v>37</v>
      </c>
      <c r="E53" s="104">
        <v>14</v>
      </c>
      <c r="F53" s="104">
        <v>33</v>
      </c>
      <c r="G53" s="105"/>
    </row>
    <row r="54" spans="1:7" x14ac:dyDescent="0.45">
      <c r="A54" s="101" t="s">
        <v>18</v>
      </c>
      <c r="B54" s="102" t="s">
        <v>737</v>
      </c>
      <c r="C54" s="102" t="s">
        <v>738</v>
      </c>
      <c r="D54" s="103" t="s">
        <v>741</v>
      </c>
      <c r="E54" s="104">
        <v>14</v>
      </c>
      <c r="F54" s="104">
        <v>33</v>
      </c>
      <c r="G54" s="105"/>
    </row>
    <row r="55" spans="1:7" x14ac:dyDescent="0.45">
      <c r="A55" s="101" t="s">
        <v>18</v>
      </c>
      <c r="B55" s="102" t="s">
        <v>770</v>
      </c>
      <c r="C55" s="102" t="s">
        <v>764</v>
      </c>
      <c r="D55" s="103" t="s">
        <v>772</v>
      </c>
      <c r="E55" s="104">
        <v>14</v>
      </c>
      <c r="F55" s="104">
        <v>33</v>
      </c>
      <c r="G55" s="105"/>
    </row>
    <row r="56" spans="1:7" x14ac:dyDescent="0.45">
      <c r="A56" s="101" t="s">
        <v>18</v>
      </c>
      <c r="B56" s="102" t="s">
        <v>324</v>
      </c>
      <c r="C56" s="102" t="s">
        <v>325</v>
      </c>
      <c r="D56" s="103" t="s">
        <v>328</v>
      </c>
      <c r="E56" s="104">
        <v>14</v>
      </c>
      <c r="F56" s="104">
        <v>33</v>
      </c>
      <c r="G56" s="105"/>
    </row>
    <row r="57" spans="1:7" x14ac:dyDescent="0.45">
      <c r="A57" s="101" t="s">
        <v>18</v>
      </c>
      <c r="B57" s="102" t="s">
        <v>775</v>
      </c>
      <c r="C57" s="102" t="s">
        <v>776</v>
      </c>
      <c r="D57" s="103" t="s">
        <v>779</v>
      </c>
      <c r="E57" s="104">
        <v>14</v>
      </c>
      <c r="F57" s="104">
        <v>33</v>
      </c>
      <c r="G57" s="105"/>
    </row>
    <row r="58" spans="1:7" x14ac:dyDescent="0.45">
      <c r="A58" s="101" t="s">
        <v>18</v>
      </c>
      <c r="B58" s="102" t="s">
        <v>1468</v>
      </c>
      <c r="C58" s="102" t="s">
        <v>1461</v>
      </c>
      <c r="D58" s="103" t="s">
        <v>22</v>
      </c>
      <c r="E58" s="104">
        <v>14</v>
      </c>
      <c r="F58" s="104">
        <v>33</v>
      </c>
      <c r="G58" s="105"/>
    </row>
    <row r="59" spans="1:7" x14ac:dyDescent="0.45">
      <c r="A59" s="101" t="s">
        <v>18</v>
      </c>
      <c r="B59" s="102" t="s">
        <v>181</v>
      </c>
      <c r="C59" s="102" t="s">
        <v>182</v>
      </c>
      <c r="D59" s="103" t="s">
        <v>185</v>
      </c>
      <c r="E59" s="104">
        <v>13</v>
      </c>
      <c r="F59" s="104">
        <v>33</v>
      </c>
      <c r="G59" s="105"/>
    </row>
    <row r="60" spans="1:7" x14ac:dyDescent="0.45">
      <c r="A60" s="101" t="s">
        <v>18</v>
      </c>
      <c r="B60" s="102" t="s">
        <v>502</v>
      </c>
      <c r="C60" s="102" t="s">
        <v>501</v>
      </c>
      <c r="D60" s="103" t="s">
        <v>505</v>
      </c>
      <c r="E60" s="104">
        <v>13</v>
      </c>
      <c r="F60" s="104">
        <v>33</v>
      </c>
      <c r="G60" s="105"/>
    </row>
    <row r="61" spans="1:7" x14ac:dyDescent="0.45">
      <c r="A61" s="101" t="s">
        <v>18</v>
      </c>
      <c r="B61" s="102" t="s">
        <v>438</v>
      </c>
      <c r="C61" s="102" t="s">
        <v>439</v>
      </c>
      <c r="D61" s="103" t="s">
        <v>442</v>
      </c>
      <c r="E61" s="104">
        <v>13</v>
      </c>
      <c r="F61" s="104">
        <v>33</v>
      </c>
      <c r="G61" s="105" t="s">
        <v>1541</v>
      </c>
    </row>
    <row r="62" spans="1:7" x14ac:dyDescent="0.45">
      <c r="A62" s="101" t="s">
        <v>18</v>
      </c>
      <c r="B62" s="102" t="s">
        <v>744</v>
      </c>
      <c r="C62" s="102" t="s">
        <v>745</v>
      </c>
      <c r="D62" s="103" t="s">
        <v>748</v>
      </c>
      <c r="E62" s="104">
        <v>13</v>
      </c>
      <c r="F62" s="104">
        <v>33</v>
      </c>
      <c r="G62" s="105"/>
    </row>
    <row r="63" spans="1:7" x14ac:dyDescent="0.45">
      <c r="A63" s="101" t="s">
        <v>18</v>
      </c>
      <c r="B63" s="102" t="s">
        <v>508</v>
      </c>
      <c r="C63" s="102" t="s">
        <v>509</v>
      </c>
      <c r="D63" s="103" t="s">
        <v>512</v>
      </c>
      <c r="E63" s="104">
        <v>13</v>
      </c>
      <c r="F63" s="104">
        <v>33</v>
      </c>
      <c r="G63" s="105"/>
    </row>
    <row r="64" spans="1:7" x14ac:dyDescent="0.45">
      <c r="A64" s="101" t="s">
        <v>18</v>
      </c>
      <c r="B64" s="102" t="s">
        <v>338</v>
      </c>
      <c r="C64" s="102" t="s">
        <v>339</v>
      </c>
      <c r="D64" s="103" t="s">
        <v>342</v>
      </c>
      <c r="E64" s="104">
        <v>13</v>
      </c>
      <c r="F64" s="104">
        <v>33</v>
      </c>
      <c r="G64" s="105"/>
    </row>
    <row r="65" spans="1:7" x14ac:dyDescent="0.45">
      <c r="A65" s="101" t="s">
        <v>18</v>
      </c>
      <c r="B65" s="102" t="s">
        <v>431</v>
      </c>
      <c r="C65" s="102" t="s">
        <v>432</v>
      </c>
      <c r="D65" s="103" t="s">
        <v>435</v>
      </c>
      <c r="E65" s="104">
        <v>13</v>
      </c>
      <c r="F65" s="104">
        <v>33</v>
      </c>
      <c r="G65" s="105"/>
    </row>
    <row r="66" spans="1:7" x14ac:dyDescent="0.45">
      <c r="A66" s="101" t="s">
        <v>18</v>
      </c>
      <c r="B66" s="102" t="s">
        <v>489</v>
      </c>
      <c r="C66" s="102" t="s">
        <v>483</v>
      </c>
      <c r="D66" s="103" t="s">
        <v>491</v>
      </c>
      <c r="E66" s="104">
        <v>13</v>
      </c>
      <c r="F66" s="104">
        <v>33</v>
      </c>
      <c r="G66" s="105"/>
    </row>
    <row r="67" spans="1:7" x14ac:dyDescent="0.45">
      <c r="A67" s="101" t="s">
        <v>18</v>
      </c>
      <c r="B67" s="102" t="s">
        <v>297</v>
      </c>
      <c r="C67" s="102" t="s">
        <v>298</v>
      </c>
      <c r="D67" s="103" t="s">
        <v>301</v>
      </c>
      <c r="E67" s="104">
        <v>13</v>
      </c>
      <c r="F67" s="104">
        <v>33</v>
      </c>
      <c r="G67" s="105"/>
    </row>
    <row r="68" spans="1:7" x14ac:dyDescent="0.45">
      <c r="A68" s="101" t="s">
        <v>18</v>
      </c>
      <c r="B68" s="102" t="s">
        <v>242</v>
      </c>
      <c r="C68" s="102" t="s">
        <v>243</v>
      </c>
      <c r="D68" s="103" t="s">
        <v>246</v>
      </c>
      <c r="E68" s="104">
        <v>13</v>
      </c>
      <c r="F68" s="104">
        <v>33</v>
      </c>
      <c r="G68" s="105"/>
    </row>
    <row r="69" spans="1:7" x14ac:dyDescent="0.45">
      <c r="A69" s="149" t="s">
        <v>0</v>
      </c>
      <c r="B69" s="150"/>
      <c r="C69" s="150"/>
      <c r="D69" s="150"/>
      <c r="E69" s="150"/>
      <c r="F69" s="150"/>
    </row>
    <row r="70" spans="1:7" x14ac:dyDescent="0.45">
      <c r="A70" s="149" t="s">
        <v>3</v>
      </c>
      <c r="B70" s="150"/>
      <c r="C70" s="150"/>
      <c r="D70" s="150"/>
      <c r="E70" s="150"/>
      <c r="F70" s="150"/>
    </row>
    <row r="71" spans="1:7" x14ac:dyDescent="0.45">
      <c r="A71" s="149" t="s">
        <v>1540</v>
      </c>
      <c r="B71" s="150"/>
      <c r="C71" s="150"/>
      <c r="D71" s="150"/>
      <c r="E71" s="150"/>
      <c r="F71" s="150"/>
    </row>
    <row r="72" spans="1:7" x14ac:dyDescent="0.45">
      <c r="A72" s="80"/>
      <c r="D72" s="81"/>
    </row>
    <row r="73" spans="1:7" ht="19" thickBot="1" x14ac:dyDescent="0.5">
      <c r="A73" s="82" t="s">
        <v>10</v>
      </c>
      <c r="B73" s="83" t="s">
        <v>11</v>
      </c>
      <c r="C73" s="83" t="s">
        <v>12</v>
      </c>
      <c r="D73" s="84" t="s">
        <v>15</v>
      </c>
      <c r="E73" s="84" t="s">
        <v>1496</v>
      </c>
      <c r="F73" s="84" t="s">
        <v>1497</v>
      </c>
      <c r="G73" s="85" t="s">
        <v>17</v>
      </c>
    </row>
    <row r="74" spans="1:7" ht="19" thickTop="1" x14ac:dyDescent="0.45">
      <c r="A74" s="106" t="s">
        <v>25</v>
      </c>
      <c r="B74" s="107" t="s">
        <v>582</v>
      </c>
      <c r="C74" s="107" t="s">
        <v>583</v>
      </c>
      <c r="D74" s="108" t="s">
        <v>586</v>
      </c>
      <c r="E74" s="109">
        <v>20</v>
      </c>
      <c r="F74" s="109" t="s">
        <v>1494</v>
      </c>
      <c r="G74" s="110"/>
    </row>
    <row r="75" spans="1:7" x14ac:dyDescent="0.45">
      <c r="A75" s="106" t="s">
        <v>25</v>
      </c>
      <c r="B75" s="107" t="s">
        <v>224</v>
      </c>
      <c r="C75" s="107" t="s">
        <v>225</v>
      </c>
      <c r="D75" s="108" t="s">
        <v>228</v>
      </c>
      <c r="E75" s="109">
        <v>20</v>
      </c>
      <c r="F75" s="109" t="s">
        <v>1494</v>
      </c>
      <c r="G75" s="110"/>
    </row>
    <row r="76" spans="1:7" x14ac:dyDescent="0.45">
      <c r="A76" s="106" t="s">
        <v>25</v>
      </c>
      <c r="B76" s="107" t="s">
        <v>522</v>
      </c>
      <c r="C76" s="107" t="s">
        <v>516</v>
      </c>
      <c r="D76" s="108" t="s">
        <v>524</v>
      </c>
      <c r="E76" s="109">
        <v>20</v>
      </c>
      <c r="F76" s="109" t="s">
        <v>1494</v>
      </c>
      <c r="G76" s="110"/>
    </row>
    <row r="77" spans="1:7" x14ac:dyDescent="0.45">
      <c r="A77" s="106" t="s">
        <v>25</v>
      </c>
      <c r="B77" s="107" t="s">
        <v>717</v>
      </c>
      <c r="C77" s="107" t="s">
        <v>718</v>
      </c>
      <c r="D77" s="108" t="s">
        <v>720</v>
      </c>
      <c r="E77" s="109">
        <v>20</v>
      </c>
      <c r="F77" s="109" t="s">
        <v>1494</v>
      </c>
      <c r="G77" s="110"/>
    </row>
    <row r="78" spans="1:7" x14ac:dyDescent="0.45">
      <c r="A78" s="106" t="s">
        <v>25</v>
      </c>
      <c r="B78" s="107" t="s">
        <v>640</v>
      </c>
      <c r="C78" s="107" t="s">
        <v>641</v>
      </c>
      <c r="D78" s="108" t="s">
        <v>644</v>
      </c>
      <c r="E78" s="109">
        <v>20</v>
      </c>
      <c r="F78" s="109" t="s">
        <v>1494</v>
      </c>
      <c r="G78" s="110"/>
    </row>
    <row r="79" spans="1:7" x14ac:dyDescent="0.45">
      <c r="A79" s="106" t="s">
        <v>25</v>
      </c>
      <c r="B79" s="107" t="s">
        <v>26</v>
      </c>
      <c r="C79" s="107" t="s">
        <v>27</v>
      </c>
      <c r="D79" s="108" t="s">
        <v>30</v>
      </c>
      <c r="E79" s="109">
        <v>19</v>
      </c>
      <c r="F79" s="109" t="s">
        <v>1494</v>
      </c>
      <c r="G79" s="110"/>
    </row>
    <row r="80" spans="1:7" x14ac:dyDescent="0.45">
      <c r="A80" s="106" t="s">
        <v>25</v>
      </c>
      <c r="B80" s="107" t="s">
        <v>54</v>
      </c>
      <c r="C80" s="107" t="s">
        <v>55</v>
      </c>
      <c r="D80" s="108" t="s">
        <v>30</v>
      </c>
      <c r="E80" s="109">
        <v>19</v>
      </c>
      <c r="F80" s="109" t="s">
        <v>1494</v>
      </c>
      <c r="G80" s="110"/>
    </row>
    <row r="81" spans="1:7" x14ac:dyDescent="0.45">
      <c r="A81" s="111" t="s">
        <v>25</v>
      </c>
      <c r="B81" s="112" t="s">
        <v>562</v>
      </c>
      <c r="C81" s="112" t="s">
        <v>563</v>
      </c>
      <c r="D81" s="113" t="s">
        <v>30</v>
      </c>
      <c r="E81" s="114">
        <v>19</v>
      </c>
      <c r="F81" s="114" t="s">
        <v>1493</v>
      </c>
      <c r="G81" s="115"/>
    </row>
    <row r="82" spans="1:7" x14ac:dyDescent="0.45">
      <c r="A82" s="111" t="s">
        <v>25</v>
      </c>
      <c r="B82" s="112" t="s">
        <v>589</v>
      </c>
      <c r="C82" s="112" t="s">
        <v>590</v>
      </c>
      <c r="D82" s="113" t="s">
        <v>30</v>
      </c>
      <c r="E82" s="114">
        <v>19</v>
      </c>
      <c r="F82" s="114" t="s">
        <v>1493</v>
      </c>
      <c r="G82" s="115"/>
    </row>
    <row r="83" spans="1:7" x14ac:dyDescent="0.45">
      <c r="A83" s="111" t="s">
        <v>25</v>
      </c>
      <c r="B83" s="112" t="s">
        <v>684</v>
      </c>
      <c r="C83" s="112" t="s">
        <v>685</v>
      </c>
      <c r="D83" s="113" t="s">
        <v>687</v>
      </c>
      <c r="E83" s="114">
        <v>19</v>
      </c>
      <c r="F83" s="114" t="s">
        <v>1493</v>
      </c>
      <c r="G83" s="115"/>
    </row>
    <row r="84" spans="1:7" x14ac:dyDescent="0.45">
      <c r="A84" s="111" t="s">
        <v>25</v>
      </c>
      <c r="B84" s="112" t="s">
        <v>459</v>
      </c>
      <c r="C84" s="112" t="s">
        <v>460</v>
      </c>
      <c r="D84" s="113" t="s">
        <v>463</v>
      </c>
      <c r="E84" s="114">
        <v>19</v>
      </c>
      <c r="F84" s="114" t="s">
        <v>1493</v>
      </c>
      <c r="G84" s="115"/>
    </row>
    <row r="85" spans="1:7" x14ac:dyDescent="0.45">
      <c r="A85" s="111" t="s">
        <v>25</v>
      </c>
      <c r="B85" s="112" t="s">
        <v>317</v>
      </c>
      <c r="C85" s="112" t="s">
        <v>318</v>
      </c>
      <c r="D85" s="113" t="s">
        <v>321</v>
      </c>
      <c r="E85" s="114">
        <v>19</v>
      </c>
      <c r="F85" s="114" t="s">
        <v>1493</v>
      </c>
      <c r="G85" s="115"/>
    </row>
    <row r="86" spans="1:7" x14ac:dyDescent="0.45">
      <c r="A86" s="111" t="s">
        <v>25</v>
      </c>
      <c r="B86" s="112" t="s">
        <v>137</v>
      </c>
      <c r="C86" s="112" t="s">
        <v>138</v>
      </c>
      <c r="D86" s="113" t="s">
        <v>141</v>
      </c>
      <c r="E86" s="114">
        <v>19</v>
      </c>
      <c r="F86" s="114" t="s">
        <v>1493</v>
      </c>
      <c r="G86" s="115"/>
    </row>
    <row r="87" spans="1:7" x14ac:dyDescent="0.45">
      <c r="A87" s="111" t="s">
        <v>25</v>
      </c>
      <c r="B87" s="112" t="s">
        <v>1470</v>
      </c>
      <c r="C87" s="112" t="s">
        <v>131</v>
      </c>
      <c r="D87" s="113" t="s">
        <v>134</v>
      </c>
      <c r="E87" s="114">
        <v>19</v>
      </c>
      <c r="F87" s="114" t="s">
        <v>1493</v>
      </c>
      <c r="G87" s="115"/>
    </row>
    <row r="88" spans="1:7" x14ac:dyDescent="0.45">
      <c r="A88" s="116" t="s">
        <v>25</v>
      </c>
      <c r="B88" s="117" t="s">
        <v>1463</v>
      </c>
      <c r="C88" s="117" t="s">
        <v>68</v>
      </c>
      <c r="D88" s="118" t="s">
        <v>71</v>
      </c>
      <c r="E88" s="119">
        <v>18</v>
      </c>
      <c r="F88" s="119">
        <v>32</v>
      </c>
      <c r="G88" s="120"/>
    </row>
    <row r="89" spans="1:7" x14ac:dyDescent="0.45">
      <c r="A89" s="116" t="s">
        <v>25</v>
      </c>
      <c r="B89" s="117" t="s">
        <v>310</v>
      </c>
      <c r="C89" s="117" t="s">
        <v>311</v>
      </c>
      <c r="D89" s="118" t="s">
        <v>314</v>
      </c>
      <c r="E89" s="119">
        <v>18</v>
      </c>
      <c r="F89" s="119">
        <v>32</v>
      </c>
      <c r="G89" s="120"/>
    </row>
    <row r="90" spans="1:7" x14ac:dyDescent="0.45">
      <c r="A90" s="116" t="s">
        <v>25</v>
      </c>
      <c r="B90" s="117" t="s">
        <v>195</v>
      </c>
      <c r="C90" s="117" t="s">
        <v>196</v>
      </c>
      <c r="D90" s="118" t="s">
        <v>199</v>
      </c>
      <c r="E90" s="119">
        <v>18</v>
      </c>
      <c r="F90" s="119">
        <v>32</v>
      </c>
      <c r="G90" s="120"/>
    </row>
    <row r="91" spans="1:7" x14ac:dyDescent="0.45">
      <c r="A91" s="116" t="s">
        <v>25</v>
      </c>
      <c r="B91" s="117" t="s">
        <v>826</v>
      </c>
      <c r="C91" s="117" t="s">
        <v>827</v>
      </c>
      <c r="D91" s="118">
        <v>39723</v>
      </c>
      <c r="E91" s="119">
        <v>18</v>
      </c>
      <c r="F91" s="119">
        <v>32</v>
      </c>
      <c r="G91" s="120"/>
    </row>
    <row r="92" spans="1:7" x14ac:dyDescent="0.45">
      <c r="A92" s="116" t="s">
        <v>25</v>
      </c>
      <c r="B92" s="117" t="s">
        <v>730</v>
      </c>
      <c r="C92" s="117" t="s">
        <v>731</v>
      </c>
      <c r="D92" s="118" t="s">
        <v>734</v>
      </c>
      <c r="E92" s="119">
        <v>17</v>
      </c>
      <c r="F92" s="119">
        <v>32</v>
      </c>
      <c r="G92" s="120"/>
    </row>
    <row r="93" spans="1:7" x14ac:dyDescent="0.45">
      <c r="A93" s="116" t="s">
        <v>25</v>
      </c>
      <c r="B93" s="117" t="s">
        <v>515</v>
      </c>
      <c r="C93" s="117" t="s">
        <v>516</v>
      </c>
      <c r="D93" s="118" t="s">
        <v>519</v>
      </c>
      <c r="E93" s="119">
        <v>17</v>
      </c>
      <c r="F93" s="119">
        <v>32</v>
      </c>
      <c r="G93" s="120"/>
    </row>
    <row r="94" spans="1:7" x14ac:dyDescent="0.45">
      <c r="A94" s="116" t="s">
        <v>25</v>
      </c>
      <c r="B94" s="117" t="s">
        <v>408</v>
      </c>
      <c r="C94" s="117" t="s">
        <v>1182</v>
      </c>
      <c r="D94" s="118" t="s">
        <v>411</v>
      </c>
      <c r="E94" s="119">
        <v>17</v>
      </c>
      <c r="F94" s="119">
        <v>32</v>
      </c>
      <c r="G94" s="120"/>
    </row>
    <row r="95" spans="1:7" x14ac:dyDescent="0.45">
      <c r="A95" s="116" t="s">
        <v>25</v>
      </c>
      <c r="B95" s="117" t="s">
        <v>82</v>
      </c>
      <c r="C95" s="117" t="s">
        <v>76</v>
      </c>
      <c r="D95" s="118" t="s">
        <v>84</v>
      </c>
      <c r="E95" s="119">
        <v>17</v>
      </c>
      <c r="F95" s="119">
        <v>32</v>
      </c>
      <c r="G95" s="120"/>
    </row>
    <row r="96" spans="1:7" x14ac:dyDescent="0.45">
      <c r="A96" s="116" t="s">
        <v>25</v>
      </c>
      <c r="B96" s="117" t="s">
        <v>541</v>
      </c>
      <c r="C96" s="117" t="s">
        <v>542</v>
      </c>
      <c r="D96" s="118" t="s">
        <v>545</v>
      </c>
      <c r="E96" s="119">
        <v>17</v>
      </c>
      <c r="F96" s="119">
        <v>32</v>
      </c>
      <c r="G96" s="120"/>
    </row>
    <row r="97" spans="1:7" x14ac:dyDescent="0.45">
      <c r="A97" s="116" t="s">
        <v>25</v>
      </c>
      <c r="B97" s="117" t="s">
        <v>475</v>
      </c>
      <c r="C97" s="117" t="s">
        <v>476</v>
      </c>
      <c r="D97" s="118" t="s">
        <v>479</v>
      </c>
      <c r="E97" s="119">
        <v>17</v>
      </c>
      <c r="F97" s="119">
        <v>32</v>
      </c>
      <c r="G97" s="120"/>
    </row>
    <row r="98" spans="1:7" x14ac:dyDescent="0.45">
      <c r="A98" s="116" t="s">
        <v>25</v>
      </c>
      <c r="B98" s="117" t="s">
        <v>782</v>
      </c>
      <c r="C98" s="117" t="s">
        <v>776</v>
      </c>
      <c r="D98" s="118" t="s">
        <v>785</v>
      </c>
      <c r="E98" s="119">
        <v>17</v>
      </c>
      <c r="F98" s="119">
        <v>32</v>
      </c>
      <c r="G98" s="120"/>
    </row>
    <row r="99" spans="1:7" x14ac:dyDescent="0.45">
      <c r="A99" s="116" t="s">
        <v>25</v>
      </c>
      <c r="B99" s="117" t="s">
        <v>202</v>
      </c>
      <c r="C99" s="117" t="s">
        <v>203</v>
      </c>
      <c r="D99" s="118" t="s">
        <v>206</v>
      </c>
      <c r="E99" s="119">
        <v>17</v>
      </c>
      <c r="F99" s="119">
        <v>32</v>
      </c>
      <c r="G99" s="120"/>
    </row>
    <row r="100" spans="1:7" x14ac:dyDescent="0.45">
      <c r="A100" s="116" t="s">
        <v>25</v>
      </c>
      <c r="B100" s="117" t="s">
        <v>94</v>
      </c>
      <c r="C100" s="117" t="s">
        <v>95</v>
      </c>
      <c r="D100" s="118" t="s">
        <v>98</v>
      </c>
      <c r="E100" s="119">
        <v>17</v>
      </c>
      <c r="F100" s="119">
        <v>32</v>
      </c>
      <c r="G100" s="120"/>
    </row>
    <row r="101" spans="1:7" x14ac:dyDescent="0.45">
      <c r="A101" s="116" t="s">
        <v>25</v>
      </c>
      <c r="B101" s="117" t="s">
        <v>122</v>
      </c>
      <c r="C101" s="117" t="s">
        <v>116</v>
      </c>
      <c r="D101" s="118" t="s">
        <v>125</v>
      </c>
      <c r="E101" s="119">
        <v>17</v>
      </c>
      <c r="F101" s="119">
        <v>32</v>
      </c>
      <c r="G101" s="120"/>
    </row>
    <row r="102" spans="1:7" x14ac:dyDescent="0.45">
      <c r="A102" s="116" t="s">
        <v>25</v>
      </c>
      <c r="B102" s="117" t="s">
        <v>677</v>
      </c>
      <c r="C102" s="117" t="s">
        <v>678</v>
      </c>
      <c r="D102" s="118" t="s">
        <v>681</v>
      </c>
      <c r="E102" s="119">
        <v>17</v>
      </c>
      <c r="F102" s="119">
        <v>32</v>
      </c>
      <c r="G102" s="120"/>
    </row>
    <row r="103" spans="1:7" x14ac:dyDescent="0.45">
      <c r="A103" s="116" t="s">
        <v>25</v>
      </c>
      <c r="B103" s="117" t="s">
        <v>654</v>
      </c>
      <c r="C103" s="117" t="s">
        <v>655</v>
      </c>
      <c r="D103" s="118" t="s">
        <v>658</v>
      </c>
      <c r="E103" s="119">
        <v>17</v>
      </c>
      <c r="F103" s="119">
        <v>32</v>
      </c>
      <c r="G103" s="120"/>
    </row>
    <row r="104" spans="1:7" x14ac:dyDescent="0.45">
      <c r="A104" s="121" t="s">
        <v>25</v>
      </c>
      <c r="B104" s="122" t="s">
        <v>384</v>
      </c>
      <c r="C104" s="122" t="s">
        <v>385</v>
      </c>
      <c r="D104" s="123" t="s">
        <v>388</v>
      </c>
      <c r="E104" s="124">
        <v>16</v>
      </c>
      <c r="F104" s="124">
        <v>31</v>
      </c>
      <c r="G104" s="125"/>
    </row>
    <row r="105" spans="1:7" x14ac:dyDescent="0.45">
      <c r="A105" s="121" t="s">
        <v>25</v>
      </c>
      <c r="B105" s="122" t="s">
        <v>87</v>
      </c>
      <c r="C105" s="122" t="s">
        <v>88</v>
      </c>
      <c r="D105" s="123" t="s">
        <v>91</v>
      </c>
      <c r="E105" s="124">
        <v>16</v>
      </c>
      <c r="F105" s="124">
        <v>31</v>
      </c>
      <c r="G105" s="125"/>
    </row>
    <row r="106" spans="1:7" x14ac:dyDescent="0.45">
      <c r="A106" s="121" t="s">
        <v>25</v>
      </c>
      <c r="B106" s="122" t="s">
        <v>819</v>
      </c>
      <c r="C106" s="122" t="s">
        <v>820</v>
      </c>
      <c r="D106" s="123" t="s">
        <v>823</v>
      </c>
      <c r="E106" s="124">
        <v>16</v>
      </c>
      <c r="F106" s="124">
        <v>31</v>
      </c>
      <c r="G106" s="125"/>
    </row>
    <row r="107" spans="1:7" x14ac:dyDescent="0.45">
      <c r="A107" s="121" t="s">
        <v>25</v>
      </c>
      <c r="B107" s="122" t="s">
        <v>616</v>
      </c>
      <c r="C107" s="122" t="s">
        <v>617</v>
      </c>
      <c r="D107" s="123" t="s">
        <v>620</v>
      </c>
      <c r="E107" s="124">
        <v>16</v>
      </c>
      <c r="F107" s="124">
        <v>31</v>
      </c>
      <c r="G107" s="125"/>
    </row>
    <row r="108" spans="1:7" x14ac:dyDescent="0.45">
      <c r="A108" s="121" t="s">
        <v>25</v>
      </c>
      <c r="B108" s="122" t="s">
        <v>704</v>
      </c>
      <c r="C108" s="122" t="s">
        <v>705</v>
      </c>
      <c r="D108" s="123" t="s">
        <v>708</v>
      </c>
      <c r="E108" s="124">
        <v>16</v>
      </c>
      <c r="F108" s="124">
        <v>31</v>
      </c>
      <c r="G108" s="125"/>
    </row>
    <row r="109" spans="1:7" x14ac:dyDescent="0.45">
      <c r="A109" s="121" t="s">
        <v>25</v>
      </c>
      <c r="B109" s="122" t="s">
        <v>195</v>
      </c>
      <c r="C109" s="122" t="s">
        <v>764</v>
      </c>
      <c r="D109" s="123" t="s">
        <v>701</v>
      </c>
      <c r="E109" s="124">
        <v>16</v>
      </c>
      <c r="F109" s="124">
        <v>31</v>
      </c>
      <c r="G109" s="125"/>
    </row>
    <row r="110" spans="1:7" x14ac:dyDescent="0.45">
      <c r="A110" s="121" t="s">
        <v>25</v>
      </c>
      <c r="B110" s="122" t="s">
        <v>231</v>
      </c>
      <c r="C110" s="122" t="s">
        <v>232</v>
      </c>
      <c r="D110" s="123" t="s">
        <v>235</v>
      </c>
      <c r="E110" s="124">
        <v>16</v>
      </c>
      <c r="F110" s="124">
        <v>31</v>
      </c>
      <c r="G110" s="125"/>
    </row>
    <row r="111" spans="1:7" x14ac:dyDescent="0.45">
      <c r="A111" s="121" t="s">
        <v>25</v>
      </c>
      <c r="B111" s="122" t="s">
        <v>210</v>
      </c>
      <c r="C111" s="122" t="s">
        <v>211</v>
      </c>
      <c r="D111" s="123" t="s">
        <v>214</v>
      </c>
      <c r="E111" s="124">
        <v>16</v>
      </c>
      <c r="F111" s="124">
        <v>31</v>
      </c>
      <c r="G111" s="125"/>
    </row>
    <row r="112" spans="1:7" x14ac:dyDescent="0.45">
      <c r="A112" s="121" t="s">
        <v>25</v>
      </c>
      <c r="B112" s="122" t="s">
        <v>263</v>
      </c>
      <c r="C112" s="122" t="s">
        <v>264</v>
      </c>
      <c r="D112" s="123" t="s">
        <v>267</v>
      </c>
      <c r="E112" s="124">
        <v>16</v>
      </c>
      <c r="F112" s="124">
        <v>31</v>
      </c>
      <c r="G112" s="125"/>
    </row>
    <row r="113" spans="1:7" x14ac:dyDescent="0.45">
      <c r="A113" s="121" t="s">
        <v>25</v>
      </c>
      <c r="B113" s="122" t="s">
        <v>122</v>
      </c>
      <c r="C113" s="122" t="s">
        <v>1473</v>
      </c>
      <c r="D113" s="123" t="s">
        <v>171</v>
      </c>
      <c r="E113" s="124">
        <v>16</v>
      </c>
      <c r="F113" s="124">
        <v>31</v>
      </c>
      <c r="G113" s="126" t="s">
        <v>1545</v>
      </c>
    </row>
    <row r="114" spans="1:7" x14ac:dyDescent="0.45">
      <c r="A114" s="121" t="s">
        <v>25</v>
      </c>
      <c r="B114" s="122" t="s">
        <v>414</v>
      </c>
      <c r="C114" s="122" t="s">
        <v>415</v>
      </c>
      <c r="D114" s="123" t="s">
        <v>418</v>
      </c>
      <c r="E114" s="124">
        <v>16</v>
      </c>
      <c r="F114" s="124">
        <v>31</v>
      </c>
      <c r="G114" s="125"/>
    </row>
    <row r="115" spans="1:7" x14ac:dyDescent="0.45">
      <c r="A115" s="121" t="s">
        <v>25</v>
      </c>
      <c r="B115" s="122" t="s">
        <v>845</v>
      </c>
      <c r="C115" s="122" t="s">
        <v>839</v>
      </c>
      <c r="D115" s="123" t="s">
        <v>846</v>
      </c>
      <c r="E115" s="124">
        <v>15</v>
      </c>
      <c r="F115" s="124">
        <v>31</v>
      </c>
      <c r="G115" s="125"/>
    </row>
    <row r="116" spans="1:7" x14ac:dyDescent="0.45">
      <c r="A116" s="121" t="s">
        <v>25</v>
      </c>
      <c r="B116" s="122" t="s">
        <v>452</v>
      </c>
      <c r="C116" s="122" t="s">
        <v>453</v>
      </c>
      <c r="D116" s="123" t="s">
        <v>456</v>
      </c>
      <c r="E116" s="124">
        <v>15</v>
      </c>
      <c r="F116" s="124">
        <v>31</v>
      </c>
      <c r="G116" s="125"/>
    </row>
    <row r="117" spans="1:7" x14ac:dyDescent="0.45">
      <c r="A117" s="121" t="s">
        <v>25</v>
      </c>
      <c r="B117" s="122" t="s">
        <v>602</v>
      </c>
      <c r="C117" s="122" t="s">
        <v>603</v>
      </c>
      <c r="D117" s="123" t="s">
        <v>606</v>
      </c>
      <c r="E117" s="124">
        <v>15</v>
      </c>
      <c r="F117" s="124">
        <v>31</v>
      </c>
      <c r="G117" s="126"/>
    </row>
    <row r="118" spans="1:7" x14ac:dyDescent="0.45">
      <c r="A118" s="121" t="s">
        <v>25</v>
      </c>
      <c r="B118" s="122" t="s">
        <v>256</v>
      </c>
      <c r="C118" s="122" t="s">
        <v>257</v>
      </c>
      <c r="D118" s="123" t="s">
        <v>260</v>
      </c>
      <c r="E118" s="124">
        <v>15</v>
      </c>
      <c r="F118" s="124">
        <v>31</v>
      </c>
      <c r="G118" s="125"/>
    </row>
    <row r="119" spans="1:7" x14ac:dyDescent="0.45">
      <c r="A119" s="121" t="s">
        <v>25</v>
      </c>
      <c r="B119" s="122" t="s">
        <v>723</v>
      </c>
      <c r="C119" s="122" t="s">
        <v>724</v>
      </c>
      <c r="D119" s="123" t="s">
        <v>727</v>
      </c>
      <c r="E119" s="124">
        <v>15</v>
      </c>
      <c r="F119" s="124">
        <v>31</v>
      </c>
      <c r="G119" s="125"/>
    </row>
    <row r="120" spans="1:7" x14ac:dyDescent="0.45">
      <c r="A120" s="121" t="s">
        <v>25</v>
      </c>
      <c r="B120" s="122" t="s">
        <v>217</v>
      </c>
      <c r="C120" s="122" t="s">
        <v>218</v>
      </c>
      <c r="D120" s="123" t="s">
        <v>221</v>
      </c>
      <c r="E120" s="124">
        <v>14</v>
      </c>
      <c r="F120" s="124">
        <v>31</v>
      </c>
      <c r="G120" s="125"/>
    </row>
    <row r="121" spans="1:7" x14ac:dyDescent="0.45">
      <c r="A121" s="121" t="s">
        <v>25</v>
      </c>
      <c r="B121" s="122" t="s">
        <v>838</v>
      </c>
      <c r="C121" s="122" t="s">
        <v>839</v>
      </c>
      <c r="D121" s="123" t="s">
        <v>842</v>
      </c>
      <c r="E121" s="124">
        <v>12</v>
      </c>
      <c r="F121" s="124">
        <v>31</v>
      </c>
      <c r="G121" s="125"/>
    </row>
    <row r="122" spans="1:7" x14ac:dyDescent="0.45">
      <c r="A122" s="127" t="s">
        <v>25</v>
      </c>
      <c r="B122" s="128" t="s">
        <v>813</v>
      </c>
      <c r="C122" s="128" t="s">
        <v>814</v>
      </c>
      <c r="D122" s="129" t="s">
        <v>51</v>
      </c>
      <c r="E122" s="130">
        <v>15</v>
      </c>
      <c r="F122" s="130">
        <v>26</v>
      </c>
      <c r="G122" s="131"/>
    </row>
    <row r="123" spans="1:7" x14ac:dyDescent="0.45">
      <c r="A123" s="127" t="s">
        <v>25</v>
      </c>
      <c r="B123" s="128" t="s">
        <v>128</v>
      </c>
      <c r="C123" s="128" t="s">
        <v>116</v>
      </c>
      <c r="D123" s="129" t="s">
        <v>129</v>
      </c>
      <c r="E123" s="130">
        <v>14</v>
      </c>
      <c r="F123" s="130">
        <v>26</v>
      </c>
      <c r="G123" s="131"/>
    </row>
    <row r="124" spans="1:7" x14ac:dyDescent="0.45">
      <c r="A124" s="127" t="s">
        <v>25</v>
      </c>
      <c r="B124" s="128" t="s">
        <v>290</v>
      </c>
      <c r="C124" s="128" t="s">
        <v>291</v>
      </c>
      <c r="D124" s="129" t="s">
        <v>294</v>
      </c>
      <c r="E124" s="130">
        <v>14</v>
      </c>
      <c r="F124" s="130">
        <v>26</v>
      </c>
      <c r="G124" s="131"/>
    </row>
    <row r="125" spans="1:7" x14ac:dyDescent="0.45">
      <c r="A125" s="127" t="s">
        <v>25</v>
      </c>
      <c r="B125" s="128" t="s">
        <v>609</v>
      </c>
      <c r="C125" s="128" t="s">
        <v>610</v>
      </c>
      <c r="D125" s="129" t="s">
        <v>613</v>
      </c>
      <c r="E125" s="130">
        <v>14</v>
      </c>
      <c r="F125" s="130">
        <v>26</v>
      </c>
      <c r="G125" s="131" t="s">
        <v>1546</v>
      </c>
    </row>
    <row r="126" spans="1:7" x14ac:dyDescent="0.45">
      <c r="A126" s="127" t="s">
        <v>25</v>
      </c>
      <c r="B126" s="128" t="s">
        <v>548</v>
      </c>
      <c r="C126" s="128" t="s">
        <v>549</v>
      </c>
      <c r="D126" s="129" t="s">
        <v>552</v>
      </c>
      <c r="E126" s="130">
        <v>14</v>
      </c>
      <c r="F126" s="130">
        <v>26</v>
      </c>
      <c r="G126" s="131"/>
    </row>
    <row r="127" spans="1:7" x14ac:dyDescent="0.45">
      <c r="A127" s="127" t="s">
        <v>25</v>
      </c>
      <c r="B127" s="128" t="s">
        <v>398</v>
      </c>
      <c r="C127" s="128" t="s">
        <v>392</v>
      </c>
      <c r="D127" s="129" t="s">
        <v>399</v>
      </c>
      <c r="E127" s="130">
        <v>14</v>
      </c>
      <c r="F127" s="130">
        <v>26</v>
      </c>
      <c r="G127" s="131"/>
    </row>
    <row r="128" spans="1:7" x14ac:dyDescent="0.45">
      <c r="A128" s="127" t="s">
        <v>25</v>
      </c>
      <c r="B128" s="128" t="s">
        <v>303</v>
      </c>
      <c r="C128" s="128" t="s">
        <v>304</v>
      </c>
      <c r="D128" s="129" t="s">
        <v>307</v>
      </c>
      <c r="E128" s="130">
        <v>14</v>
      </c>
      <c r="F128" s="130">
        <v>26</v>
      </c>
      <c r="G128" s="131" t="s">
        <v>1547</v>
      </c>
    </row>
    <row r="129" spans="1:7" x14ac:dyDescent="0.45">
      <c r="A129" s="127" t="s">
        <v>25</v>
      </c>
      <c r="B129" s="128" t="s">
        <v>270</v>
      </c>
      <c r="C129" s="128" t="s">
        <v>271</v>
      </c>
      <c r="D129" s="129" t="s">
        <v>274</v>
      </c>
      <c r="E129" s="130">
        <v>14</v>
      </c>
      <c r="F129" s="130">
        <v>26</v>
      </c>
      <c r="G129" s="131" t="s">
        <v>1548</v>
      </c>
    </row>
    <row r="130" spans="1:7" x14ac:dyDescent="0.45">
      <c r="A130" s="127" t="s">
        <v>25</v>
      </c>
      <c r="B130" s="128" t="s">
        <v>575</v>
      </c>
      <c r="C130" s="128" t="s">
        <v>576</v>
      </c>
      <c r="D130" s="129" t="s">
        <v>579</v>
      </c>
      <c r="E130" s="130">
        <v>14</v>
      </c>
      <c r="F130" s="130">
        <v>26</v>
      </c>
      <c r="G130" s="131"/>
    </row>
    <row r="131" spans="1:7" x14ac:dyDescent="0.45">
      <c r="A131" s="127" t="s">
        <v>25</v>
      </c>
      <c r="B131" s="128" t="s">
        <v>101</v>
      </c>
      <c r="C131" s="128" t="s">
        <v>102</v>
      </c>
      <c r="D131" s="129" t="s">
        <v>105</v>
      </c>
      <c r="E131" s="130">
        <v>14</v>
      </c>
      <c r="F131" s="130">
        <v>26</v>
      </c>
      <c r="G131" s="131" t="s">
        <v>1549</v>
      </c>
    </row>
    <row r="132" spans="1:7" x14ac:dyDescent="0.45">
      <c r="A132" s="127" t="s">
        <v>25</v>
      </c>
      <c r="B132" s="128" t="s">
        <v>1479</v>
      </c>
      <c r="C132" s="128" t="s">
        <v>758</v>
      </c>
      <c r="D132" s="129" t="s">
        <v>761</v>
      </c>
      <c r="E132" s="130">
        <v>14</v>
      </c>
      <c r="F132" s="130">
        <v>26</v>
      </c>
      <c r="G132" s="131"/>
    </row>
    <row r="133" spans="1:7" x14ac:dyDescent="0.45">
      <c r="A133" s="127" t="s">
        <v>25</v>
      </c>
      <c r="B133" s="128" t="s">
        <v>466</v>
      </c>
      <c r="C133" s="128" t="s">
        <v>467</v>
      </c>
      <c r="D133" s="129" t="s">
        <v>470</v>
      </c>
      <c r="E133" s="130">
        <v>14</v>
      </c>
      <c r="F133" s="130">
        <v>26</v>
      </c>
      <c r="G133" s="131"/>
    </row>
    <row r="134" spans="1:7" x14ac:dyDescent="0.45">
      <c r="A134" s="127" t="s">
        <v>25</v>
      </c>
      <c r="B134" s="128" t="s">
        <v>473</v>
      </c>
      <c r="C134" s="128" t="s">
        <v>467</v>
      </c>
      <c r="D134" s="129" t="s">
        <v>470</v>
      </c>
      <c r="E134" s="130">
        <v>14</v>
      </c>
      <c r="F134" s="130">
        <v>26</v>
      </c>
      <c r="G134" s="131"/>
    </row>
    <row r="135" spans="1:7" x14ac:dyDescent="0.45">
      <c r="A135" s="127" t="s">
        <v>25</v>
      </c>
      <c r="B135" s="128" t="s">
        <v>527</v>
      </c>
      <c r="C135" s="128" t="s">
        <v>528</v>
      </c>
      <c r="D135" s="129" t="s">
        <v>531</v>
      </c>
      <c r="E135" s="130">
        <v>14</v>
      </c>
      <c r="F135" s="130">
        <v>26</v>
      </c>
      <c r="G135" s="131" t="s">
        <v>1421</v>
      </c>
    </row>
    <row r="136" spans="1:7" x14ac:dyDescent="0.45">
      <c r="A136" s="127" t="s">
        <v>25</v>
      </c>
      <c r="B136" s="128" t="s">
        <v>1478</v>
      </c>
      <c r="C136" s="128" t="s">
        <v>711</v>
      </c>
      <c r="D136" s="129" t="s">
        <v>714</v>
      </c>
      <c r="E136" s="130">
        <v>13</v>
      </c>
      <c r="F136" s="130">
        <v>26</v>
      </c>
      <c r="G136" s="131"/>
    </row>
    <row r="137" spans="1:7" x14ac:dyDescent="0.45">
      <c r="A137" s="127" t="s">
        <v>25</v>
      </c>
      <c r="B137" s="128" t="s">
        <v>1476</v>
      </c>
      <c r="C137" s="128" t="s">
        <v>1475</v>
      </c>
      <c r="D137" s="129" t="s">
        <v>422</v>
      </c>
      <c r="E137" s="130">
        <v>13</v>
      </c>
      <c r="F137" s="130">
        <v>26</v>
      </c>
      <c r="G137" s="131"/>
    </row>
    <row r="138" spans="1:7" x14ac:dyDescent="0.45">
      <c r="A138" s="127" t="s">
        <v>25</v>
      </c>
      <c r="B138" s="128" t="s">
        <v>626</v>
      </c>
      <c r="C138" s="128" t="s">
        <v>627</v>
      </c>
      <c r="D138" s="129" t="s">
        <v>630</v>
      </c>
      <c r="E138" s="130">
        <v>13</v>
      </c>
      <c r="F138" s="130">
        <v>26</v>
      </c>
      <c r="G138" s="132"/>
    </row>
    <row r="139" spans="1:7" x14ac:dyDescent="0.45">
      <c r="A139" s="127" t="s">
        <v>25</v>
      </c>
      <c r="B139" s="128" t="s">
        <v>352</v>
      </c>
      <c r="C139" s="128" t="s">
        <v>346</v>
      </c>
      <c r="D139" s="129" t="s">
        <v>354</v>
      </c>
      <c r="E139" s="130">
        <v>13</v>
      </c>
      <c r="F139" s="130">
        <v>26</v>
      </c>
      <c r="G139" s="131"/>
    </row>
    <row r="140" spans="1:7" x14ac:dyDescent="0.45">
      <c r="A140" s="133" t="s">
        <v>25</v>
      </c>
      <c r="B140" s="134" t="s">
        <v>108</v>
      </c>
      <c r="C140" s="134" t="s">
        <v>109</v>
      </c>
      <c r="D140" s="135" t="s">
        <v>112</v>
      </c>
      <c r="E140" s="136">
        <v>13</v>
      </c>
      <c r="F140" s="136">
        <v>26</v>
      </c>
      <c r="G140" s="137"/>
    </row>
  </sheetData>
  <mergeCells count="6">
    <mergeCell ref="A71:F71"/>
    <mergeCell ref="A1:F1"/>
    <mergeCell ref="A3:F3"/>
    <mergeCell ref="A2:F2"/>
    <mergeCell ref="A69:F69"/>
    <mergeCell ref="A70:F70"/>
  </mergeCells>
  <pageMargins left="0.7" right="0.7" top="0.78740157499999996" bottom="0.78740157499999996" header="0.3" footer="0.3"/>
  <pageSetup paperSize="8" scale="79" fitToHeight="0" orientation="portrait" r:id="rId1"/>
  <rowBreaks count="1" manualBreakCount="1"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TN-Liste</vt:lpstr>
      <vt:lpstr>Zusatzformular</vt:lpstr>
      <vt:lpstr>TN-Liste pro Sportart</vt:lpstr>
      <vt:lpstr>Einteilung Zelte</vt:lpstr>
      <vt:lpstr>'TN-Liste pro Sportart'!Druckbereich</vt:lpstr>
      <vt:lpstr>Zusatzformular!Druckbereich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Baumberger Nadia  BKSHS</dc:creator>
  <cp:lastModifiedBy>Baumberger Nadia  BKSHS</cp:lastModifiedBy>
  <cp:lastPrinted>2026-07-17T14:39:22Z</cp:lastPrinted>
  <dcterms:created xsi:type="dcterms:W3CDTF">2026-07-01T15:10:25Z</dcterms:created>
  <dcterms:modified xsi:type="dcterms:W3CDTF">2026-07-19T07:53:26Z</dcterms:modified>
</cp:coreProperties>
</file>